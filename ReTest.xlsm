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hristopher\Desktop\RTI\2020 Asset Tags\"/>
    </mc:Choice>
  </mc:AlternateContent>
  <xr:revisionPtr revIDLastSave="0" documentId="13_ncr:1_{A86C13CC-6EDC-4725-92ED-48337877EB2C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ite Inventory" sheetId="1" r:id="rId1"/>
    <sheet name="Model-Vendor" sheetId="2" state="hidden" r:id="rId2"/>
    <sheet name="Location Legend" sheetId="3" state="hidden" r:id="rId3"/>
  </sheets>
  <definedNames>
    <definedName name="_xlnm._FilterDatabase" localSheetId="0" hidden="1">'Site Inventory'!$A$15:$K$214</definedName>
    <definedName name="DropDownList">'Model-Vendor'!#REF!:INDEX('Model-Vendor'!#REF!, COUNTIF('Model-Vendor'!#REF!,"?*"))+'Model-Vendor'!$B$171</definedName>
    <definedName name="_xlnm.Print_Area" localSheetId="0">'Site Inventory'!$A$1:$K$214</definedName>
    <definedName name="_xlnm.Print_Titles" localSheetId="0">'Site Inventory'!$15:$15</definedName>
    <definedName name="VALIDATIONLIST">OFFSET('Model-Vendor'!#REF!,,,COUNTIF('Model-Vendor'!#REF!,"?*"))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95" i="1" l="1"/>
  <c r="G195" i="1"/>
  <c r="B195" i="1"/>
  <c r="J195" i="1" s="1"/>
  <c r="H194" i="1"/>
  <c r="G194" i="1"/>
  <c r="B194" i="1"/>
  <c r="J194" i="1" s="1"/>
  <c r="H193" i="1"/>
  <c r="G193" i="1"/>
  <c r="B193" i="1"/>
  <c r="J193" i="1" s="1"/>
  <c r="J192" i="1"/>
  <c r="H192" i="1"/>
  <c r="G192" i="1"/>
  <c r="J55" i="1" l="1"/>
  <c r="H55" i="1"/>
  <c r="G55" i="1"/>
  <c r="J54" i="1"/>
  <c r="K59" i="1" l="1"/>
  <c r="J59" i="1"/>
  <c r="H59" i="1"/>
  <c r="G59" i="1"/>
  <c r="J57" i="1" l="1"/>
  <c r="H221" i="1" l="1"/>
  <c r="G221" i="1"/>
  <c r="B221" i="1"/>
  <c r="J221" i="1" s="1"/>
  <c r="K117" i="1" l="1"/>
  <c r="H117" i="1"/>
  <c r="G117" i="1"/>
  <c r="K116" i="1"/>
  <c r="H116" i="1"/>
  <c r="G116" i="1"/>
  <c r="H115" i="1"/>
  <c r="G115" i="1"/>
  <c r="K114" i="1"/>
  <c r="H114" i="1"/>
  <c r="G114" i="1"/>
  <c r="K113" i="1"/>
  <c r="H113" i="1"/>
  <c r="G113" i="1"/>
  <c r="K112" i="1"/>
  <c r="H112" i="1"/>
  <c r="G112" i="1"/>
  <c r="B112" i="1"/>
  <c r="J112" i="1" s="1"/>
  <c r="K111" i="1"/>
  <c r="J111" i="1"/>
  <c r="H111" i="1"/>
  <c r="G111" i="1"/>
  <c r="K110" i="1"/>
  <c r="H110" i="1"/>
  <c r="G110" i="1"/>
  <c r="K109" i="1"/>
  <c r="H109" i="1"/>
  <c r="G109" i="1"/>
  <c r="H108" i="1"/>
  <c r="G108" i="1"/>
  <c r="K107" i="1"/>
  <c r="H107" i="1"/>
  <c r="G107" i="1"/>
  <c r="K106" i="1"/>
  <c r="H106" i="1"/>
  <c r="G106" i="1"/>
  <c r="K105" i="1"/>
  <c r="H105" i="1"/>
  <c r="G105" i="1"/>
  <c r="B105" i="1"/>
  <c r="B106" i="1" s="1"/>
  <c r="J106" i="1" s="1"/>
  <c r="K104" i="1"/>
  <c r="J104" i="1"/>
  <c r="H104" i="1"/>
  <c r="G104" i="1"/>
  <c r="J60" i="1"/>
  <c r="J58" i="1"/>
  <c r="J105" i="1" l="1"/>
  <c r="B113" i="1"/>
  <c r="B107" i="1"/>
  <c r="H200" i="1"/>
  <c r="G200" i="1"/>
  <c r="H199" i="1"/>
  <c r="G199" i="1"/>
  <c r="H198" i="1"/>
  <c r="G198" i="1"/>
  <c r="H197" i="1"/>
  <c r="G197" i="1"/>
  <c r="H214" i="1"/>
  <c r="G214" i="1"/>
  <c r="H213" i="1"/>
  <c r="G213" i="1"/>
  <c r="H212" i="1"/>
  <c r="G212" i="1"/>
  <c r="H211" i="1"/>
  <c r="G211" i="1"/>
  <c r="H191" i="1"/>
  <c r="G191" i="1"/>
  <c r="H190" i="1"/>
  <c r="G190" i="1"/>
  <c r="H189" i="1"/>
  <c r="G189" i="1"/>
  <c r="H188" i="1"/>
  <c r="G188" i="1"/>
  <c r="H187" i="1"/>
  <c r="G187" i="1"/>
  <c r="H186" i="1"/>
  <c r="G186" i="1"/>
  <c r="H185" i="1"/>
  <c r="G185" i="1"/>
  <c r="H184" i="1"/>
  <c r="G184" i="1"/>
  <c r="H205" i="1"/>
  <c r="G205" i="1"/>
  <c r="H204" i="1"/>
  <c r="G204" i="1"/>
  <c r="H203" i="1"/>
  <c r="G203" i="1"/>
  <c r="H202" i="1"/>
  <c r="G202" i="1"/>
  <c r="H228" i="1"/>
  <c r="G228" i="1"/>
  <c r="H227" i="1"/>
  <c r="G227" i="1"/>
  <c r="H226" i="1"/>
  <c r="G226" i="1"/>
  <c r="H225" i="1"/>
  <c r="G225" i="1"/>
  <c r="H224" i="1"/>
  <c r="G224" i="1"/>
  <c r="H223" i="1"/>
  <c r="G223" i="1"/>
  <c r="H222" i="1"/>
  <c r="G222" i="1"/>
  <c r="H220" i="1"/>
  <c r="G220" i="1"/>
  <c r="J18" i="1"/>
  <c r="J113" i="1" l="1"/>
  <c r="B114" i="1"/>
  <c r="B108" i="1"/>
  <c r="J107" i="1"/>
  <c r="K124" i="1"/>
  <c r="K123" i="1"/>
  <c r="K103" i="1"/>
  <c r="K118" i="1"/>
  <c r="K119" i="1"/>
  <c r="K120" i="1"/>
  <c r="K121" i="1"/>
  <c r="K102" i="1"/>
  <c r="K96" i="1"/>
  <c r="K97" i="1"/>
  <c r="K98" i="1"/>
  <c r="K99" i="1"/>
  <c r="K100" i="1"/>
  <c r="K95" i="1"/>
  <c r="K89" i="1"/>
  <c r="K90" i="1"/>
  <c r="K91" i="1"/>
  <c r="K92" i="1"/>
  <c r="K93" i="1"/>
  <c r="K88" i="1"/>
  <c r="K82" i="1"/>
  <c r="K83" i="1"/>
  <c r="K84" i="1"/>
  <c r="K85" i="1"/>
  <c r="K86" i="1"/>
  <c r="K81" i="1"/>
  <c r="K75" i="1"/>
  <c r="K76" i="1"/>
  <c r="K77" i="1"/>
  <c r="K78" i="1"/>
  <c r="K79" i="1"/>
  <c r="K74" i="1"/>
  <c r="K68" i="1"/>
  <c r="K69" i="1"/>
  <c r="K70" i="1"/>
  <c r="K71" i="1"/>
  <c r="K72" i="1"/>
  <c r="K67" i="1"/>
  <c r="K63" i="1"/>
  <c r="K64" i="1"/>
  <c r="K65" i="1"/>
  <c r="K62" i="1"/>
  <c r="J176" i="1"/>
  <c r="J215" i="1"/>
  <c r="J220" i="1"/>
  <c r="J225" i="1"/>
  <c r="J181" i="1"/>
  <c r="J202" i="1"/>
  <c r="J184" i="1"/>
  <c r="J188" i="1"/>
  <c r="J211" i="1"/>
  <c r="J196" i="1"/>
  <c r="J171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46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18" i="1"/>
  <c r="J97" i="1"/>
  <c r="J90" i="1"/>
  <c r="J83" i="1"/>
  <c r="J76" i="1"/>
  <c r="J69" i="1"/>
  <c r="J62" i="1"/>
  <c r="J50" i="1"/>
  <c r="J51" i="1"/>
  <c r="J52" i="1"/>
  <c r="J49" i="1"/>
  <c r="J47" i="1"/>
  <c r="J46" i="1"/>
  <c r="J42" i="1"/>
  <c r="J43" i="1"/>
  <c r="J44" i="1"/>
  <c r="J41" i="1"/>
  <c r="J33" i="1"/>
  <c r="J34" i="1"/>
  <c r="J35" i="1"/>
  <c r="J36" i="1"/>
  <c r="J37" i="1"/>
  <c r="J38" i="1"/>
  <c r="J39" i="1"/>
  <c r="J32" i="1"/>
  <c r="J30" i="1"/>
  <c r="J19" i="1"/>
  <c r="J20" i="1"/>
  <c r="J21" i="1"/>
  <c r="J22" i="1"/>
  <c r="J23" i="1"/>
  <c r="J24" i="1"/>
  <c r="J25" i="1"/>
  <c r="J26" i="1"/>
  <c r="J27" i="1"/>
  <c r="J28" i="1"/>
  <c r="B115" i="1" l="1"/>
  <c r="J114" i="1"/>
  <c r="B109" i="1"/>
  <c r="J108" i="1"/>
  <c r="H19" i="1"/>
  <c r="G19" i="1"/>
  <c r="B116" i="1" l="1"/>
  <c r="J115" i="1"/>
  <c r="B110" i="1"/>
  <c r="J110" i="1" s="1"/>
  <c r="J109" i="1"/>
  <c r="B197" i="1"/>
  <c r="B117" i="1" l="1"/>
  <c r="J117" i="1" s="1"/>
  <c r="J116" i="1"/>
  <c r="B198" i="1"/>
  <c r="J197" i="1"/>
  <c r="H35" i="1"/>
  <c r="G35" i="1"/>
  <c r="H39" i="1"/>
  <c r="G39" i="1"/>
  <c r="B199" i="1" l="1"/>
  <c r="J198" i="1"/>
  <c r="H196" i="1"/>
  <c r="G196" i="1"/>
  <c r="B200" i="1" l="1"/>
  <c r="J200" i="1" s="1"/>
  <c r="J199" i="1"/>
  <c r="H143" i="1"/>
  <c r="G143" i="1"/>
  <c r="H138" i="1"/>
  <c r="G138" i="1"/>
  <c r="H133" i="1"/>
  <c r="G133" i="1"/>
  <c r="H128" i="1"/>
  <c r="G128" i="1"/>
  <c r="B175" i="1" l="1"/>
  <c r="J175" i="1" s="1"/>
  <c r="B174" i="1"/>
  <c r="J174" i="1" s="1"/>
  <c r="B173" i="1"/>
  <c r="J173" i="1" s="1"/>
  <c r="B172" i="1"/>
  <c r="J172" i="1" s="1"/>
  <c r="H37" i="1" l="1"/>
  <c r="G37" i="1"/>
  <c r="H30" i="1"/>
  <c r="G30" i="1"/>
  <c r="B214" i="1"/>
  <c r="J214" i="1" s="1"/>
  <c r="B213" i="1"/>
  <c r="J213" i="1" s="1"/>
  <c r="B212" i="1"/>
  <c r="J212" i="1" s="1"/>
  <c r="B191" i="1"/>
  <c r="J191" i="1" s="1"/>
  <c r="B190" i="1"/>
  <c r="J190" i="1" s="1"/>
  <c r="B189" i="1"/>
  <c r="J189" i="1" s="1"/>
  <c r="B187" i="1"/>
  <c r="J187" i="1" s="1"/>
  <c r="B186" i="1"/>
  <c r="J186" i="1" s="1"/>
  <c r="B185" i="1"/>
  <c r="J185" i="1" s="1"/>
  <c r="B205" i="1"/>
  <c r="B204" i="1"/>
  <c r="B203" i="1"/>
  <c r="B183" i="1"/>
  <c r="J183" i="1" s="1"/>
  <c r="B182" i="1"/>
  <c r="J182" i="1" s="1"/>
  <c r="B228" i="1"/>
  <c r="J228" i="1" s="1"/>
  <c r="B227" i="1"/>
  <c r="J227" i="1" s="1"/>
  <c r="B226" i="1"/>
  <c r="J226" i="1" s="1"/>
  <c r="B224" i="1"/>
  <c r="J224" i="1" s="1"/>
  <c r="B223" i="1"/>
  <c r="J223" i="1" s="1"/>
  <c r="B222" i="1"/>
  <c r="J222" i="1" s="1"/>
  <c r="B216" i="1"/>
  <c r="B180" i="1"/>
  <c r="J180" i="1" s="1"/>
  <c r="B179" i="1"/>
  <c r="J179" i="1" s="1"/>
  <c r="B178" i="1"/>
  <c r="J178" i="1" s="1"/>
  <c r="B177" i="1"/>
  <c r="J177" i="1" s="1"/>
  <c r="B63" i="1"/>
  <c r="B70" i="1"/>
  <c r="J70" i="1" s="1"/>
  <c r="B119" i="1"/>
  <c r="J119" i="1" s="1"/>
  <c r="B98" i="1"/>
  <c r="B91" i="1"/>
  <c r="B84" i="1"/>
  <c r="J84" i="1" s="1"/>
  <c r="B77" i="1"/>
  <c r="J77" i="1" s="1"/>
  <c r="G18" i="1"/>
  <c r="H28" i="1"/>
  <c r="G28" i="1"/>
  <c r="H183" i="1"/>
  <c r="G183" i="1"/>
  <c r="H182" i="1"/>
  <c r="G182" i="1"/>
  <c r="H181" i="1"/>
  <c r="G181" i="1"/>
  <c r="H47" i="1"/>
  <c r="G47" i="1"/>
  <c r="H69" i="1"/>
  <c r="G69" i="1"/>
  <c r="H33" i="1"/>
  <c r="G33" i="1"/>
  <c r="G62" i="1"/>
  <c r="G64" i="1"/>
  <c r="G36" i="1"/>
  <c r="H36" i="1"/>
  <c r="H88" i="1"/>
  <c r="G88" i="1"/>
  <c r="H123" i="1"/>
  <c r="G123" i="1"/>
  <c r="H122" i="1"/>
  <c r="G122" i="1"/>
  <c r="H121" i="1"/>
  <c r="G121" i="1"/>
  <c r="H120" i="1"/>
  <c r="G120" i="1"/>
  <c r="H119" i="1"/>
  <c r="G119" i="1"/>
  <c r="H118" i="1"/>
  <c r="G118" i="1"/>
  <c r="H124" i="1"/>
  <c r="G124" i="1"/>
  <c r="H102" i="1"/>
  <c r="G102" i="1"/>
  <c r="H101" i="1"/>
  <c r="G101" i="1"/>
  <c r="H100" i="1"/>
  <c r="G100" i="1"/>
  <c r="H99" i="1"/>
  <c r="G99" i="1"/>
  <c r="H98" i="1"/>
  <c r="G98" i="1"/>
  <c r="H97" i="1"/>
  <c r="G97" i="1"/>
  <c r="H103" i="1"/>
  <c r="G103" i="1"/>
  <c r="H95" i="1"/>
  <c r="G95" i="1"/>
  <c r="H94" i="1"/>
  <c r="G94" i="1"/>
  <c r="H93" i="1"/>
  <c r="G93" i="1"/>
  <c r="H92" i="1"/>
  <c r="G92" i="1"/>
  <c r="H91" i="1"/>
  <c r="G91" i="1"/>
  <c r="H90" i="1"/>
  <c r="G90" i="1"/>
  <c r="H96" i="1"/>
  <c r="G96" i="1"/>
  <c r="H52" i="1"/>
  <c r="G52" i="1"/>
  <c r="H169" i="1"/>
  <c r="G169" i="1"/>
  <c r="H165" i="1"/>
  <c r="G165" i="1"/>
  <c r="H161" i="1"/>
  <c r="G161" i="1"/>
  <c r="H157" i="1"/>
  <c r="G157" i="1"/>
  <c r="H153" i="1"/>
  <c r="G153" i="1"/>
  <c r="H149" i="1"/>
  <c r="G149" i="1"/>
  <c r="H142" i="1"/>
  <c r="G142" i="1"/>
  <c r="H137" i="1"/>
  <c r="G137" i="1"/>
  <c r="H132" i="1"/>
  <c r="G132" i="1"/>
  <c r="H127" i="1"/>
  <c r="G127" i="1"/>
  <c r="H81" i="1"/>
  <c r="G81" i="1"/>
  <c r="H74" i="1"/>
  <c r="G74" i="1"/>
  <c r="H67" i="1"/>
  <c r="G67" i="1"/>
  <c r="H46" i="1"/>
  <c r="G46" i="1"/>
  <c r="H51" i="1"/>
  <c r="G51" i="1"/>
  <c r="H141" i="1"/>
  <c r="G141" i="1"/>
  <c r="H140" i="1"/>
  <c r="G140" i="1"/>
  <c r="H144" i="1"/>
  <c r="G144" i="1"/>
  <c r="H136" i="1"/>
  <c r="G136" i="1"/>
  <c r="H135" i="1"/>
  <c r="G135" i="1"/>
  <c r="H139" i="1"/>
  <c r="G139" i="1"/>
  <c r="H131" i="1"/>
  <c r="G131" i="1"/>
  <c r="H130" i="1"/>
  <c r="G130" i="1"/>
  <c r="H134" i="1"/>
  <c r="G134" i="1"/>
  <c r="H126" i="1"/>
  <c r="G126" i="1"/>
  <c r="H125" i="1"/>
  <c r="G125" i="1"/>
  <c r="H129" i="1"/>
  <c r="G129" i="1"/>
  <c r="G68" i="1"/>
  <c r="H27" i="1"/>
  <c r="G27" i="1"/>
  <c r="H24" i="1"/>
  <c r="G24" i="1"/>
  <c r="H23" i="1"/>
  <c r="G23" i="1"/>
  <c r="H21" i="1"/>
  <c r="G21" i="1"/>
  <c r="H20" i="1"/>
  <c r="H22" i="1"/>
  <c r="H25" i="1"/>
  <c r="H42" i="1"/>
  <c r="H44" i="1"/>
  <c r="H41" i="1"/>
  <c r="H43" i="1"/>
  <c r="H26" i="1"/>
  <c r="H38" i="1"/>
  <c r="H49" i="1"/>
  <c r="H50" i="1"/>
  <c r="H32" i="1"/>
  <c r="H219" i="1"/>
  <c r="H180" i="1"/>
  <c r="H175" i="1"/>
  <c r="H168" i="1"/>
  <c r="H164" i="1"/>
  <c r="H160" i="1"/>
  <c r="H156" i="1"/>
  <c r="H152" i="1"/>
  <c r="H148" i="1"/>
  <c r="H218" i="1"/>
  <c r="H179" i="1"/>
  <c r="H174" i="1"/>
  <c r="H217" i="1"/>
  <c r="H178" i="1"/>
  <c r="H173" i="1"/>
  <c r="H216" i="1"/>
  <c r="H215" i="1"/>
  <c r="H177" i="1"/>
  <c r="H176" i="1"/>
  <c r="H172" i="1"/>
  <c r="H171" i="1"/>
  <c r="H167" i="1"/>
  <c r="H163" i="1"/>
  <c r="H159" i="1"/>
  <c r="H155" i="1"/>
  <c r="H151" i="1"/>
  <c r="H147" i="1"/>
  <c r="H166" i="1"/>
  <c r="H162" i="1"/>
  <c r="H158" i="1"/>
  <c r="H154" i="1"/>
  <c r="H150" i="1"/>
  <c r="H146" i="1"/>
  <c r="H87" i="1"/>
  <c r="H80" i="1"/>
  <c r="H73" i="1"/>
  <c r="H66" i="1"/>
  <c r="H86" i="1"/>
  <c r="H79" i="1"/>
  <c r="H72" i="1"/>
  <c r="H65" i="1"/>
  <c r="H85" i="1"/>
  <c r="H78" i="1"/>
  <c r="H71" i="1"/>
  <c r="H64" i="1"/>
  <c r="H84" i="1"/>
  <c r="H77" i="1"/>
  <c r="H70" i="1"/>
  <c r="H63" i="1"/>
  <c r="H83" i="1"/>
  <c r="H76" i="1"/>
  <c r="H62" i="1"/>
  <c r="H89" i="1"/>
  <c r="H82" i="1"/>
  <c r="H75" i="1"/>
  <c r="H68" i="1"/>
  <c r="G20" i="1"/>
  <c r="G22" i="1"/>
  <c r="G25" i="1"/>
  <c r="G42" i="1"/>
  <c r="G44" i="1"/>
  <c r="G41" i="1"/>
  <c r="G43" i="1"/>
  <c r="G26" i="1"/>
  <c r="G38" i="1"/>
  <c r="G49" i="1"/>
  <c r="G50" i="1"/>
  <c r="G32" i="1"/>
  <c r="G219" i="1"/>
  <c r="G180" i="1"/>
  <c r="G175" i="1"/>
  <c r="G168" i="1"/>
  <c r="G164" i="1"/>
  <c r="G160" i="1"/>
  <c r="G156" i="1"/>
  <c r="G152" i="1"/>
  <c r="G148" i="1"/>
  <c r="G218" i="1"/>
  <c r="G179" i="1"/>
  <c r="G174" i="1"/>
  <c r="G217" i="1"/>
  <c r="G178" i="1"/>
  <c r="G173" i="1"/>
  <c r="G216" i="1"/>
  <c r="G215" i="1"/>
  <c r="G177" i="1"/>
  <c r="G176" i="1"/>
  <c r="G172" i="1"/>
  <c r="G171" i="1"/>
  <c r="G167" i="1"/>
  <c r="G163" i="1"/>
  <c r="G159" i="1"/>
  <c r="G155" i="1"/>
  <c r="G151" i="1"/>
  <c r="G147" i="1"/>
  <c r="G166" i="1"/>
  <c r="G162" i="1"/>
  <c r="G158" i="1"/>
  <c r="G154" i="1"/>
  <c r="G150" i="1"/>
  <c r="G146" i="1"/>
  <c r="G87" i="1"/>
  <c r="G80" i="1"/>
  <c r="G73" i="1"/>
  <c r="G66" i="1"/>
  <c r="G86" i="1"/>
  <c r="G79" i="1"/>
  <c r="G72" i="1"/>
  <c r="G65" i="1"/>
  <c r="G85" i="1"/>
  <c r="G78" i="1"/>
  <c r="G71" i="1"/>
  <c r="G84" i="1"/>
  <c r="G77" i="1"/>
  <c r="G70" i="1"/>
  <c r="G63" i="1"/>
  <c r="G83" i="1"/>
  <c r="G76" i="1"/>
  <c r="G89" i="1"/>
  <c r="G82" i="1"/>
  <c r="G75" i="1"/>
  <c r="J204" i="1" l="1"/>
  <c r="B207" i="1"/>
  <c r="J207" i="1" s="1"/>
  <c r="J203" i="1"/>
  <c r="B206" i="1"/>
  <c r="J205" i="1"/>
  <c r="B208" i="1"/>
  <c r="J208" i="1" s="1"/>
  <c r="B92" i="1"/>
  <c r="J91" i="1"/>
  <c r="B64" i="1"/>
  <c r="J64" i="1" s="1"/>
  <c r="J63" i="1"/>
  <c r="B99" i="1"/>
  <c r="J98" i="1"/>
  <c r="B217" i="1"/>
  <c r="J217" i="1" s="1"/>
  <c r="J216" i="1"/>
  <c r="B85" i="1"/>
  <c r="J85" i="1" s="1"/>
  <c r="B120" i="1"/>
  <c r="J120" i="1" s="1"/>
  <c r="B78" i="1"/>
  <c r="J78" i="1" s="1"/>
  <c r="H18" i="1"/>
  <c r="B71" i="1"/>
  <c r="J71" i="1" s="1"/>
  <c r="B209" i="1" l="1"/>
  <c r="J209" i="1" s="1"/>
  <c r="J206" i="1"/>
  <c r="B218" i="1"/>
  <c r="J218" i="1" s="1"/>
  <c r="B65" i="1"/>
  <c r="J65" i="1" s="1"/>
  <c r="B100" i="1"/>
  <c r="J99" i="1"/>
  <c r="B93" i="1"/>
  <c r="J92" i="1"/>
  <c r="B121" i="1"/>
  <c r="J121" i="1" s="1"/>
  <c r="B72" i="1"/>
  <c r="J72" i="1" s="1"/>
  <c r="B86" i="1"/>
  <c r="J86" i="1" s="1"/>
  <c r="B66" i="1"/>
  <c r="J66" i="1" s="1"/>
  <c r="B79" i="1"/>
  <c r="J79" i="1" s="1"/>
  <c r="B219" i="1" l="1"/>
  <c r="J219" i="1" s="1"/>
  <c r="J93" i="1"/>
  <c r="B94" i="1"/>
  <c r="J100" i="1"/>
  <c r="B101" i="1"/>
  <c r="B80" i="1"/>
  <c r="J80" i="1" s="1"/>
  <c r="B73" i="1"/>
  <c r="J73" i="1" s="1"/>
  <c r="B87" i="1"/>
  <c r="J87" i="1" s="1"/>
  <c r="B67" i="1"/>
  <c r="J67" i="1" s="1"/>
  <c r="B122" i="1"/>
  <c r="J122" i="1" s="1"/>
  <c r="J94" i="1" l="1"/>
  <c r="B95" i="1"/>
  <c r="J101" i="1"/>
  <c r="B102" i="1"/>
  <c r="B68" i="1"/>
  <c r="J68" i="1" s="1"/>
  <c r="B74" i="1"/>
  <c r="J74" i="1" s="1"/>
  <c r="B123" i="1"/>
  <c r="J123" i="1" s="1"/>
  <c r="B88" i="1"/>
  <c r="J88" i="1" s="1"/>
  <c r="B81" i="1"/>
  <c r="J81" i="1" s="1"/>
  <c r="J95" i="1" l="1"/>
  <c r="B96" i="1"/>
  <c r="J96" i="1" s="1"/>
  <c r="J102" i="1"/>
  <c r="B103" i="1"/>
  <c r="J103" i="1" s="1"/>
  <c r="B89" i="1"/>
  <c r="J89" i="1" s="1"/>
  <c r="J75" i="1"/>
  <c r="B82" i="1"/>
  <c r="J82" i="1" s="1"/>
  <c r="B124" i="1"/>
  <c r="J12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Khalil Shahin</author>
  </authors>
  <commentList>
    <comment ref="A2" authorId="0" shapeId="0" xr:uid="{00000000-0006-0000-0100-000001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B2" authorId="0" shapeId="0" xr:uid="{00000000-0006-0000-0100-000002000000}">
      <text>
        <r>
          <rPr>
            <b/>
            <sz val="9"/>
            <color indexed="8"/>
            <rFont val="Tahoma"/>
            <family val="2"/>
          </rPr>
          <t>Field :</t>
        </r>
        <r>
          <rPr>
            <sz val="9"/>
            <color indexed="8"/>
            <rFont val="Tahoma"/>
            <family val="2"/>
          </rPr>
          <t xml:space="preserve"> Industry ID[*]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model_id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30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 
</t>
        </r>
      </text>
    </comment>
    <comment ref="C2" authorId="0" shapeId="0" xr:uid="{00000000-0006-0000-0100-000003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A42" authorId="0" shapeId="0" xr:uid="{00000000-0006-0000-0100-000004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B42" authorId="0" shapeId="0" xr:uid="{00000000-0006-0000-0100-000005000000}">
      <text>
        <r>
          <rPr>
            <b/>
            <sz val="9"/>
            <color indexed="8"/>
            <rFont val="Tahoma"/>
            <family val="2"/>
          </rPr>
          <t>Field :</t>
        </r>
        <r>
          <rPr>
            <sz val="9"/>
            <color indexed="8"/>
            <rFont val="Tahoma"/>
            <family val="2"/>
          </rPr>
          <t xml:space="preserve"> Industry ID[*]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model_id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30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 
</t>
        </r>
      </text>
    </comment>
    <comment ref="C42" authorId="0" shapeId="0" xr:uid="{00000000-0006-0000-0100-000006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A49" authorId="0" shapeId="0" xr:uid="{00000000-0006-0000-0100-000007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B49" authorId="0" shapeId="0" xr:uid="{00000000-0006-0000-0100-000008000000}">
      <text>
        <r>
          <rPr>
            <b/>
            <sz val="9"/>
            <color indexed="8"/>
            <rFont val="Tahoma"/>
            <family val="2"/>
          </rPr>
          <t>Field :</t>
        </r>
        <r>
          <rPr>
            <sz val="9"/>
            <color indexed="8"/>
            <rFont val="Tahoma"/>
            <family val="2"/>
          </rPr>
          <t xml:space="preserve"> Industry ID[*]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model_id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30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 
</t>
        </r>
      </text>
    </comment>
    <comment ref="C49" authorId="0" shapeId="0" xr:uid="{00000000-0006-0000-0100-000009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A74" authorId="0" shapeId="0" xr:uid="{00000000-0006-0000-0100-00000A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B74" authorId="0" shapeId="0" xr:uid="{00000000-0006-0000-0100-00000B000000}">
      <text>
        <r>
          <rPr>
            <b/>
            <sz val="9"/>
            <color indexed="8"/>
            <rFont val="Tahoma"/>
            <family val="2"/>
          </rPr>
          <t>Field :</t>
        </r>
        <r>
          <rPr>
            <sz val="9"/>
            <color indexed="8"/>
            <rFont val="Tahoma"/>
            <family val="2"/>
          </rPr>
          <t xml:space="preserve"> Industry ID[*]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model_id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30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 
</t>
        </r>
      </text>
    </comment>
    <comment ref="C74" authorId="0" shapeId="0" xr:uid="{00000000-0006-0000-0100-00000C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A86" authorId="0" shapeId="0" xr:uid="{00000000-0006-0000-0100-00000D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B86" authorId="0" shapeId="0" xr:uid="{00000000-0006-0000-0100-00000E000000}">
      <text>
        <r>
          <rPr>
            <b/>
            <sz val="9"/>
            <color indexed="8"/>
            <rFont val="Tahoma"/>
            <family val="2"/>
          </rPr>
          <t>Field :</t>
        </r>
        <r>
          <rPr>
            <sz val="9"/>
            <color indexed="8"/>
            <rFont val="Tahoma"/>
            <family val="2"/>
          </rPr>
          <t xml:space="preserve"> Industry ID[*]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model_id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30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 
</t>
        </r>
      </text>
    </comment>
    <comment ref="C86" authorId="0" shapeId="0" xr:uid="{00000000-0006-0000-0100-00000F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A99" authorId="0" shapeId="0" xr:uid="{00000000-0006-0000-0100-000010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B99" authorId="0" shapeId="0" xr:uid="{00000000-0006-0000-0100-000011000000}">
      <text>
        <r>
          <rPr>
            <b/>
            <sz val="9"/>
            <color indexed="8"/>
            <rFont val="Tahoma"/>
            <family val="2"/>
          </rPr>
          <t>Field :</t>
        </r>
        <r>
          <rPr>
            <sz val="9"/>
            <color indexed="8"/>
            <rFont val="Tahoma"/>
            <family val="2"/>
          </rPr>
          <t xml:space="preserve"> Industry ID[*]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model_id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30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 
</t>
        </r>
      </text>
    </comment>
    <comment ref="C99" authorId="0" shapeId="0" xr:uid="{00000000-0006-0000-0100-000012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A109" authorId="0" shapeId="0" xr:uid="{00000000-0006-0000-0100-000013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B109" authorId="0" shapeId="0" xr:uid="{00000000-0006-0000-0100-000014000000}">
      <text>
        <r>
          <rPr>
            <b/>
            <sz val="9"/>
            <color indexed="8"/>
            <rFont val="Tahoma"/>
            <family val="2"/>
          </rPr>
          <t>Field :</t>
        </r>
        <r>
          <rPr>
            <sz val="9"/>
            <color indexed="8"/>
            <rFont val="Tahoma"/>
            <family val="2"/>
          </rPr>
          <t xml:space="preserve"> Industry ID[*]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model_id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30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 
</t>
        </r>
      </text>
    </comment>
    <comment ref="C109" authorId="0" shapeId="0" xr:uid="{00000000-0006-0000-0100-000015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A138" authorId="0" shapeId="0" xr:uid="{00000000-0006-0000-0100-000016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B138" authorId="0" shapeId="0" xr:uid="{00000000-0006-0000-0100-000017000000}">
      <text>
        <r>
          <rPr>
            <b/>
            <sz val="9"/>
            <color indexed="8"/>
            <rFont val="Tahoma"/>
            <family val="2"/>
          </rPr>
          <t>Field :</t>
        </r>
        <r>
          <rPr>
            <sz val="9"/>
            <color indexed="8"/>
            <rFont val="Tahoma"/>
            <family val="2"/>
          </rPr>
          <t xml:space="preserve"> Industry ID[*]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model_id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30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 
</t>
        </r>
      </text>
    </comment>
    <comment ref="C138" authorId="0" shapeId="0" xr:uid="{00000000-0006-0000-0100-000018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A162" authorId="0" shapeId="0" xr:uid="{00000000-0006-0000-0100-000019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B162" authorId="0" shapeId="0" xr:uid="{00000000-0006-0000-0100-00001A000000}">
      <text>
        <r>
          <rPr>
            <b/>
            <sz val="9"/>
            <color indexed="8"/>
            <rFont val="Tahoma"/>
            <family val="2"/>
          </rPr>
          <t>Field :</t>
        </r>
        <r>
          <rPr>
            <sz val="9"/>
            <color indexed="8"/>
            <rFont val="Tahoma"/>
            <family val="2"/>
          </rPr>
          <t xml:space="preserve"> Industry ID[*]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model_id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30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 
</t>
        </r>
      </text>
    </comment>
    <comment ref="C162" authorId="0" shapeId="0" xr:uid="{00000000-0006-0000-0100-00001B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A179" authorId="0" shapeId="0" xr:uid="{00000000-0006-0000-0100-00001C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B179" authorId="0" shapeId="0" xr:uid="{00000000-0006-0000-0100-00001D000000}">
      <text>
        <r>
          <rPr>
            <b/>
            <sz val="9"/>
            <color indexed="8"/>
            <rFont val="Tahoma"/>
            <family val="2"/>
          </rPr>
          <t>Field :</t>
        </r>
        <r>
          <rPr>
            <sz val="9"/>
            <color indexed="8"/>
            <rFont val="Tahoma"/>
            <family val="2"/>
          </rPr>
          <t xml:space="preserve"> Industry ID[*]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model_id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30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 
</t>
        </r>
      </text>
    </comment>
    <comment ref="C179" authorId="0" shapeId="0" xr:uid="{00000000-0006-0000-0100-00001E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A188" authorId="0" shapeId="0" xr:uid="{00000000-0006-0000-0100-00001F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  <comment ref="B188" authorId="0" shapeId="0" xr:uid="{00000000-0006-0000-0100-000020000000}">
      <text>
        <r>
          <rPr>
            <b/>
            <sz val="9"/>
            <color indexed="8"/>
            <rFont val="Tahoma"/>
            <family val="2"/>
          </rPr>
          <t>Field :</t>
        </r>
        <r>
          <rPr>
            <sz val="9"/>
            <color indexed="8"/>
            <rFont val="Tahoma"/>
            <family val="2"/>
          </rPr>
          <t xml:space="preserve"> Industry ID[*]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model_id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30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 
</t>
        </r>
      </text>
    </comment>
    <comment ref="C188" authorId="0" shapeId="0" xr:uid="{00000000-0006-0000-0100-000021000000}">
      <text>
        <r>
          <rPr>
            <b/>
            <sz val="9"/>
            <color indexed="8"/>
            <rFont val="Tahoma"/>
            <family val="2"/>
          </rPr>
          <t xml:space="preserve">Field </t>
        </r>
        <r>
          <rPr>
            <sz val="9"/>
            <color indexed="8"/>
            <rFont val="Tahoma"/>
            <family val="2"/>
          </rPr>
          <t>:Description[*]</t>
        </r>
        <r>
          <rPr>
            <b/>
            <sz val="9"/>
            <color indexed="8"/>
            <rFont val="Tahoma"/>
            <family val="2"/>
          </rPr>
          <t xml:space="preserve">
Field ID: </t>
        </r>
        <r>
          <rPr>
            <sz val="9"/>
            <color indexed="8"/>
            <rFont val="Tahoma"/>
            <family val="2"/>
          </rPr>
          <t>descr</t>
        </r>
        <r>
          <rPr>
            <b/>
            <sz val="9"/>
            <color indexed="8"/>
            <rFont val="Tahoma"/>
            <family val="2"/>
          </rPr>
          <t xml:space="preserve">
Type: </t>
        </r>
        <r>
          <rPr>
            <sz val="9"/>
            <color indexed="8"/>
            <rFont val="Tahoma"/>
            <family val="2"/>
          </rPr>
          <t>String</t>
        </r>
        <r>
          <rPr>
            <b/>
            <sz val="9"/>
            <color indexed="8"/>
            <rFont val="Tahoma"/>
            <family val="2"/>
          </rPr>
          <t xml:space="preserve">
Max Size : </t>
        </r>
        <r>
          <rPr>
            <sz val="9"/>
            <color indexed="8"/>
            <rFont val="Tahoma"/>
            <family val="2"/>
          </rPr>
          <t>60</t>
        </r>
        <r>
          <rPr>
            <b/>
            <sz val="9"/>
            <color indexed="8"/>
            <rFont val="Tahoma"/>
            <family val="2"/>
          </rPr>
          <t xml:space="preserve">
Is Mandatory : </t>
        </r>
        <r>
          <rPr>
            <sz val="9"/>
            <color indexed="8"/>
            <rFont val="Tahoma"/>
            <family val="2"/>
          </rPr>
          <t>Yes</t>
        </r>
        <r>
          <rPr>
            <b/>
            <sz val="9"/>
            <color indexed="8"/>
            <rFont val="Tahoma"/>
            <family val="2"/>
          </rPr>
          <t xml:space="preserve">
Note :
</t>
        </r>
      </text>
    </comment>
  </commentList>
</comments>
</file>

<file path=xl/sharedStrings.xml><?xml version="1.0" encoding="utf-8"?>
<sst xmlns="http://schemas.openxmlformats.org/spreadsheetml/2006/main" count="1625" uniqueCount="503">
  <si>
    <t>Product ID[*]</t>
  </si>
  <si>
    <t>Description</t>
  </si>
  <si>
    <t>Vendor ID</t>
  </si>
  <si>
    <t>Serial No.[*]</t>
  </si>
  <si>
    <t>Tag No</t>
  </si>
  <si>
    <t>Category</t>
  </si>
  <si>
    <t>Location</t>
  </si>
  <si>
    <t>Lane/Number</t>
  </si>
  <si>
    <t>4852-E7D-WA</t>
  </si>
  <si>
    <t>IBM</t>
  </si>
  <si>
    <t>REG</t>
  </si>
  <si>
    <t>CIG</t>
  </si>
  <si>
    <t>051431540002-WA</t>
  </si>
  <si>
    <t>BP500UC-WA</t>
  </si>
  <si>
    <t>APC LS500 UPS BP500UC</t>
  </si>
  <si>
    <t>P1550-WA</t>
  </si>
  <si>
    <t>010368-411E-WA</t>
  </si>
  <si>
    <t>10AY001RUS-WA</t>
  </si>
  <si>
    <t>1517L-WA</t>
  </si>
  <si>
    <t>ELO 1517L 15IN LCD VGA ITOUCH  RS232</t>
  </si>
  <si>
    <t>164600018801-WA</t>
  </si>
  <si>
    <t>RADIANT EPC4 SERIES 1646 MODEL</t>
  </si>
  <si>
    <t>16PORTPANTHR-WA</t>
  </si>
  <si>
    <t>NCR PANTHER FUEL CTRL'R 16PORT  1651-000088001 </t>
  </si>
  <si>
    <t>20G0150-WA</t>
  </si>
  <si>
    <t>220-FIREWALL-WA</t>
  </si>
  <si>
    <t>PALO ALTO 220 FIREWALL</t>
  </si>
  <si>
    <t>30G0100-WA</t>
  </si>
  <si>
    <t>32PORTPANTHR-WA</t>
  </si>
  <si>
    <t>40G0100-WA</t>
  </si>
  <si>
    <t>4838-31E-WA</t>
  </si>
  <si>
    <t>4838-52E-WA</t>
  </si>
  <si>
    <t>4852-E66-WA</t>
  </si>
  <si>
    <t>5115S1118860-WA</t>
  </si>
  <si>
    <t>5125S1329698-WA</t>
  </si>
  <si>
    <t>7K7LBCUW8K4A-WA</t>
  </si>
  <si>
    <t>APC-500-WA</t>
  </si>
  <si>
    <t>APC 500 UPS</t>
  </si>
  <si>
    <t>C2960X-48FPS-WA</t>
  </si>
  <si>
    <t>C31C636084-WA</t>
  </si>
  <si>
    <t>CISCO 881 ROUTER ATM PNC</t>
  </si>
  <si>
    <t>DELLOPTI710-WA</t>
  </si>
  <si>
    <t>DELL OPTIPLEX 7010  CPU</t>
  </si>
  <si>
    <t>DLA750-WA</t>
  </si>
  <si>
    <t>DS9808-WA</t>
  </si>
  <si>
    <t>E170S-E177FP-WA</t>
  </si>
  <si>
    <t>IBM-4610-1NR-WA</t>
  </si>
  <si>
    <t>PRT IBM 4610-1NR,THERM,RCPT,USB,GR</t>
  </si>
  <si>
    <t>IBM-4800-C84-WA</t>
  </si>
  <si>
    <t>IBM 4800-C84 complete system</t>
  </si>
  <si>
    <t>IBM-4900-C85-WA</t>
  </si>
  <si>
    <t>IBM 4900-C85 complete system</t>
  </si>
  <si>
    <t>MC9090GF0HJE-WA</t>
  </si>
  <si>
    <t>TERMINAL SCANNER MC9090-GF0HJEFA6WW</t>
  </si>
  <si>
    <t>MC9190-WA</t>
  </si>
  <si>
    <t>TERMINAL SCANNER MC9190</t>
  </si>
  <si>
    <t>P0823-F001-WA</t>
  </si>
  <si>
    <t>P1560-WA</t>
  </si>
  <si>
    <t>P822F001-WA</t>
  </si>
  <si>
    <t>BUMP BAR</t>
  </si>
  <si>
    <t>P831F005-WA</t>
  </si>
  <si>
    <t>WSC296048TTL-WA</t>
  </si>
  <si>
    <t>10HY0020US-WA</t>
  </si>
  <si>
    <t>KC2500-WA</t>
  </si>
  <si>
    <t>KC2500 WEC7 -NCR KIWI</t>
  </si>
  <si>
    <t>MC9200-WA</t>
  </si>
  <si>
    <t>TERMINAL SCANNER MC9200 (MC92N0-GA0SXERA5WR )</t>
  </si>
  <si>
    <t>1717L-WA</t>
  </si>
  <si>
    <t>ELO 1717L 17IN LCD VGA ITOUCH  RS232</t>
  </si>
  <si>
    <t>Model[*]</t>
  </si>
  <si>
    <t>Description[*]</t>
  </si>
  <si>
    <t>APC-SYF6KT-WA</t>
  </si>
  <si>
    <t>SYMETTRA UPS APC SYF6KT</t>
  </si>
  <si>
    <t>DELL-24MON-WA</t>
  </si>
  <si>
    <t>DELL 24" LCD Monitor P2414H</t>
  </si>
  <si>
    <t>DELLOPTI9020-WA</t>
  </si>
  <si>
    <t>DELL OPTIPLEX 9020</t>
  </si>
  <si>
    <t>ELNBY-SAFE-WA</t>
  </si>
  <si>
    <t>SAFE ELLENBY-SAFE</t>
  </si>
  <si>
    <t>IBM-4810-E50-WA</t>
  </si>
  <si>
    <t>IBM-4810-E60-WA</t>
  </si>
  <si>
    <t>IBM-4900-C86-WA</t>
  </si>
  <si>
    <t>NAS210-WA</t>
  </si>
  <si>
    <t>SNAP SERVER NAS210</t>
  </si>
  <si>
    <t>SURT1000XLT-WA</t>
  </si>
  <si>
    <t>Model ID will populate after description is chosen</t>
  </si>
  <si>
    <t>APC</t>
  </si>
  <si>
    <t>CISCO</t>
  </si>
  <si>
    <t>DELL</t>
  </si>
  <si>
    <t>DELTEC</t>
  </si>
  <si>
    <t>ELO</t>
  </si>
  <si>
    <t>EPSON</t>
  </si>
  <si>
    <t>NCR</t>
  </si>
  <si>
    <t>LENOVO</t>
  </si>
  <si>
    <t>LEXMARK</t>
  </si>
  <si>
    <t>ELLENBY</t>
  </si>
  <si>
    <t>TELEQUIP</t>
  </si>
  <si>
    <t>Vendor ID will populate after description is chosen</t>
  </si>
  <si>
    <t>Begin typing part of description using List Search add-in and choose correct item from list</t>
  </si>
  <si>
    <t>ZEBRA</t>
  </si>
  <si>
    <t>EQUINOX</t>
  </si>
  <si>
    <t>OVERLAND</t>
  </si>
  <si>
    <t>POWERWARE</t>
  </si>
  <si>
    <t>Completed By:</t>
  </si>
  <si>
    <t>DESCRIPTION</t>
  </si>
  <si>
    <t>BEV</t>
  </si>
  <si>
    <t>BEVERAGE</t>
  </si>
  <si>
    <t>BMP</t>
  </si>
  <si>
    <t>CAT</t>
  </si>
  <si>
    <t>CIGARETTE</t>
  </si>
  <si>
    <t>CIS</t>
  </si>
  <si>
    <t>CLK</t>
  </si>
  <si>
    <t>CATLOCK</t>
  </si>
  <si>
    <t>COI</t>
  </si>
  <si>
    <t>COIN</t>
  </si>
  <si>
    <t>CRD</t>
  </si>
  <si>
    <t>CRADLE</t>
  </si>
  <si>
    <t>DCK</t>
  </si>
  <si>
    <t>DOCK</t>
  </si>
  <si>
    <t>DEL</t>
  </si>
  <si>
    <t>EPC</t>
  </si>
  <si>
    <t>HHS</t>
  </si>
  <si>
    <t>HAND HELD SCANNER</t>
  </si>
  <si>
    <t>KPS</t>
  </si>
  <si>
    <t>KVM</t>
  </si>
  <si>
    <t>KWI</t>
  </si>
  <si>
    <t>KIWI</t>
  </si>
  <si>
    <t>LEN</t>
  </si>
  <si>
    <t>LEX</t>
  </si>
  <si>
    <t>M73</t>
  </si>
  <si>
    <t xml:space="preserve">M73 </t>
  </si>
  <si>
    <t>MON</t>
  </si>
  <si>
    <t>MONITOR</t>
  </si>
  <si>
    <t>OPT</t>
  </si>
  <si>
    <t>PAL</t>
  </si>
  <si>
    <t>PALO</t>
  </si>
  <si>
    <t>PAN</t>
  </si>
  <si>
    <t>PANTHER</t>
  </si>
  <si>
    <t>PC</t>
  </si>
  <si>
    <t>PHN</t>
  </si>
  <si>
    <t>PHONE</t>
  </si>
  <si>
    <t>PIN</t>
  </si>
  <si>
    <t>PINPAD</t>
  </si>
  <si>
    <t>PNC</t>
  </si>
  <si>
    <t>PRT</t>
  </si>
  <si>
    <t>PRINTER</t>
  </si>
  <si>
    <t>REGISTER</t>
  </si>
  <si>
    <t>RTR</t>
  </si>
  <si>
    <t>ROUTER</t>
  </si>
  <si>
    <t>SAF</t>
  </si>
  <si>
    <t>SAFE</t>
  </si>
  <si>
    <t>SCN</t>
  </si>
  <si>
    <t>SCANNER</t>
  </si>
  <si>
    <t>SNP</t>
  </si>
  <si>
    <t>SNAP</t>
  </si>
  <si>
    <t>SRV</t>
  </si>
  <si>
    <t>SERVER</t>
  </si>
  <si>
    <t>SWT</t>
  </si>
  <si>
    <t>SWITCH</t>
  </si>
  <si>
    <t>TAB</t>
  </si>
  <si>
    <t>TABLET</t>
  </si>
  <si>
    <t>TCL</t>
  </si>
  <si>
    <t>TIMECLOCK</t>
  </si>
  <si>
    <t>TGR</t>
  </si>
  <si>
    <t>TIGER</t>
  </si>
  <si>
    <t>TRM</t>
  </si>
  <si>
    <t>TERMINAL</t>
  </si>
  <si>
    <t>UPS</t>
  </si>
  <si>
    <t>VKG</t>
  </si>
  <si>
    <t>VIKING</t>
  </si>
  <si>
    <t>LOC CODE</t>
  </si>
  <si>
    <t>Choose from drop down (ex. CIGARETTE)</t>
  </si>
  <si>
    <t>OFF</t>
  </si>
  <si>
    <t>OFFICE</t>
  </si>
  <si>
    <t>ELC</t>
  </si>
  <si>
    <t>ELECTRICAL ROOM</t>
  </si>
  <si>
    <t>RCK</t>
  </si>
  <si>
    <t>RACK</t>
  </si>
  <si>
    <t>BRK</t>
  </si>
  <si>
    <t>BREAK ROOM</t>
  </si>
  <si>
    <t>DELI</t>
  </si>
  <si>
    <t>Location ID</t>
  </si>
  <si>
    <t>CORE</t>
  </si>
  <si>
    <t>COR</t>
  </si>
  <si>
    <t>KIOSK</t>
  </si>
  <si>
    <t>KSK</t>
  </si>
  <si>
    <t>200A</t>
  </si>
  <si>
    <t>201A</t>
  </si>
  <si>
    <t>202A</t>
  </si>
  <si>
    <t>RWS</t>
  </si>
  <si>
    <t>SIG CAPTURE</t>
  </si>
  <si>
    <t>SIG</t>
  </si>
  <si>
    <t>Wawa provided asset tag</t>
  </si>
  <si>
    <t>Priority / SLA</t>
  </si>
  <si>
    <t>TBD by Service Manager</t>
  </si>
  <si>
    <t>WIRELESS SCANNER</t>
  </si>
  <si>
    <t>DELI PRINTER</t>
  </si>
  <si>
    <t>OFFICE PRINTER</t>
  </si>
  <si>
    <t>FUEL</t>
  </si>
  <si>
    <t>ELO MONITOR</t>
  </si>
  <si>
    <t>FUL</t>
  </si>
  <si>
    <t>WIR</t>
  </si>
  <si>
    <t>DPT</t>
  </si>
  <si>
    <t>Generates based on data in columns A, B, &amp; H</t>
  </si>
  <si>
    <t>Physical lane # or if n/a, count (ex. 2 for 2nd router in store)</t>
  </si>
  <si>
    <t>Serial Number</t>
  </si>
  <si>
    <t>Asset Tag</t>
  </si>
  <si>
    <t>Is Equipment being removed</t>
  </si>
  <si>
    <t>Y or N</t>
  </si>
  <si>
    <t>STORE In-Scope</t>
  </si>
  <si>
    <t>PDU</t>
  </si>
  <si>
    <t>UPS Management</t>
  </si>
  <si>
    <t>Cisco</t>
  </si>
  <si>
    <t>MWS/RWS</t>
  </si>
  <si>
    <t>Register</t>
  </si>
  <si>
    <t>CAT Lock</t>
  </si>
  <si>
    <t>TIGER/Panther</t>
  </si>
  <si>
    <t>Kiwi</t>
  </si>
  <si>
    <t>Printer</t>
  </si>
  <si>
    <t>Palo Alto</t>
  </si>
  <si>
    <t>Pin Pad</t>
  </si>
  <si>
    <t>LMS/Timeclock/CAT Lock</t>
  </si>
  <si>
    <t>BUMP BAR P822F001</t>
  </si>
  <si>
    <t>IBM ANYPLACE KIOSK 4838-52E</t>
  </si>
  <si>
    <t>IBM ANYPLACE KIOSK 4838-31E</t>
  </si>
  <si>
    <t>TELEQUIP COIN DISPENSER BEST DEPLETION 7K7LBCUW8K4A</t>
  </si>
  <si>
    <t>EPSON TMT88IV-084 PRINTER C31C636084</t>
  </si>
  <si>
    <t>NCR PANTHER FUEL CTRLR 32PORT 1651-0001-8801 </t>
  </si>
  <si>
    <t>RADIANT TIGER FUEL CONTROLLER P831F005</t>
  </si>
  <si>
    <t>SCANNER REGISTER DS9808</t>
  </si>
  <si>
    <t>KIWI 2 RADIANT SYSTEMS P0823-F001</t>
  </si>
  <si>
    <t>DELL E170S - E177FP 17'' FLAT PANEL MON</t>
  </si>
  <si>
    <t>LEXMARK T640 LASER PRINTER 20G0150</t>
  </si>
  <si>
    <t>PRINTER LEXMARK T650 30G0100</t>
  </si>
  <si>
    <t>PRINTER MS810N MONOCHROME PLAIN PAPER 40G0100</t>
  </si>
  <si>
    <t>LENOVO THINK CENTRE M700 10HY0020US</t>
  </si>
  <si>
    <t>LENOVO THINK CENTRE M73 10AY001RUS</t>
  </si>
  <si>
    <t>SIGNATURE CAPTURE L5300 BLACK 010368-411E</t>
  </si>
  <si>
    <t xml:space="preserve">SUREPOS TERMINAL IBM 4852-E7D </t>
  </si>
  <si>
    <t xml:space="preserve">SUREPOS TERMINAL IBM 4852-E66 </t>
  </si>
  <si>
    <t>IBM 4900-C86 complete system</t>
  </si>
  <si>
    <t>CISCO CATALYST 2960-X 48FPS</t>
  </si>
  <si>
    <t>SWITCH CISCO 48 PORT WSC296048TTL</t>
  </si>
  <si>
    <t>APC UPS 750VA USB 120V DLA750</t>
  </si>
  <si>
    <t>DELTEC UPS BATTERY BACKUP 051431540002</t>
  </si>
  <si>
    <t>SYMETTRA UPS APC1000XLT SURT1000XLT</t>
  </si>
  <si>
    <t>UPS-SMALL POWERWARE 5115 S1118860</t>
  </si>
  <si>
    <t>UPS-LARGE POWERWARE 5125 S1329698</t>
  </si>
  <si>
    <t>01</t>
  </si>
  <si>
    <t>02</t>
  </si>
  <si>
    <t>03</t>
  </si>
  <si>
    <t>04</t>
  </si>
  <si>
    <t>05</t>
  </si>
  <si>
    <t>06</t>
  </si>
  <si>
    <t>LMS</t>
  </si>
  <si>
    <t>TC1</t>
  </si>
  <si>
    <t>TC2</t>
  </si>
  <si>
    <t>TABLET CL910 MOTION CLG2A1A1A2A2A2</t>
  </si>
  <si>
    <t>TABCL910-WA</t>
  </si>
  <si>
    <t>MOTION</t>
  </si>
  <si>
    <t>RADIANT CAT TERMINAL 15IN DISP 1560</t>
  </si>
  <si>
    <t>RADIANT CAT TERMINAL 15IN DISP 1550</t>
  </si>
  <si>
    <t>SUREPOS 300 4810-X5X</t>
  </si>
  <si>
    <t>SUREPOS 300 4810-X6X 4810E60</t>
  </si>
  <si>
    <t>Removed equipment Only</t>
  </si>
  <si>
    <t>Please enter with All CAPS, no dashes (if possible or unless scanning)</t>
  </si>
  <si>
    <t>Category is a static field</t>
  </si>
  <si>
    <t>SNAP SERVER XSR40</t>
  </si>
  <si>
    <t>XSR40-WA</t>
  </si>
  <si>
    <t>Security Status</t>
  </si>
  <si>
    <t xml:space="preserve">Choose from drop down, based on location of product. </t>
  </si>
  <si>
    <t>PUBLIC</t>
  </si>
  <si>
    <t>Site Number:</t>
  </si>
  <si>
    <t>Inventory Date:</t>
  </si>
  <si>
    <t>Starting Tag #:</t>
  </si>
  <si>
    <t>Ending Tag #:</t>
  </si>
  <si>
    <t>Powered Rack:</t>
  </si>
  <si>
    <t>Register Count:</t>
  </si>
  <si>
    <t>Fuel Kiosk Count:</t>
  </si>
  <si>
    <t>CAT Count:</t>
  </si>
  <si>
    <t>TIO22D-WA</t>
  </si>
  <si>
    <t>Loc. Code</t>
  </si>
  <si>
    <t>BREAKROOM</t>
  </si>
  <si>
    <t>PUBLIC DOOR UNLOCKED</t>
  </si>
  <si>
    <t>PUBLIC DOOR UNLOCKED UNDER CAMERA</t>
  </si>
  <si>
    <t>PUBLIC DOOR LOCKED</t>
  </si>
  <si>
    <t>PUBLIC DOOR LOCKED UNDER CAMERA</t>
  </si>
  <si>
    <t>PRIVATE DOOR UNLOCKED</t>
  </si>
  <si>
    <t>PRIVATE DOOR UNLOCKED UNDER CAMERA</t>
  </si>
  <si>
    <t>PRIVATE DOOR LOCKED</t>
  </si>
  <si>
    <t>PRIVATE DOOR LOCKED UNDER CAMERA</t>
  </si>
  <si>
    <t>TIMECLOCK HARDWARE</t>
  </si>
  <si>
    <t>CATLOCK HARDWARE</t>
  </si>
  <si>
    <t>POS HARDWARE</t>
  </si>
  <si>
    <t>CAT/DELI HARDWARE</t>
  </si>
  <si>
    <t>KIWI HARDWARE</t>
  </si>
  <si>
    <t>BACK OFFICE HARDWARE</t>
  </si>
  <si>
    <t>NETWORK/COMPUTER RACK HARDWARE</t>
  </si>
  <si>
    <t>UPS HARDWARE</t>
  </si>
  <si>
    <t>SECURITY STATUS</t>
  </si>
  <si>
    <t>ASTEA LOCATION ID'S</t>
  </si>
  <si>
    <t>YES</t>
  </si>
  <si>
    <t>NO</t>
  </si>
  <si>
    <t>POWERED RACK HARDWARE</t>
  </si>
  <si>
    <t>Gas Store:</t>
  </si>
  <si>
    <t>CATLOCK:</t>
  </si>
  <si>
    <t>YES/NO VALIDATIONS</t>
  </si>
  <si>
    <t>LENOVO TINY-N-ONE 22 THINK CENTER</t>
  </si>
  <si>
    <t>10</t>
  </si>
  <si>
    <t>11</t>
  </si>
  <si>
    <t>Version:</t>
  </si>
  <si>
    <t>TimeClock Count:</t>
  </si>
  <si>
    <t>Polycom VVX 201 (2314-40450-001) Desk Phone</t>
  </si>
  <si>
    <t>VOIP Phone Hardware</t>
  </si>
  <si>
    <t>VVX201-WA</t>
  </si>
  <si>
    <t>IP DECT Phone - Year Link W56P Wireless Phone</t>
  </si>
  <si>
    <t>W56P-WA</t>
  </si>
  <si>
    <t>Phone</t>
  </si>
  <si>
    <t>Desktop TC M710q I36100T 4G 500 W10DG</t>
  </si>
  <si>
    <t>NOTES/COMMENTS</t>
  </si>
  <si>
    <t>Area:</t>
  </si>
  <si>
    <t>MA</t>
  </si>
  <si>
    <t>FL</t>
  </si>
  <si>
    <t>210A</t>
  </si>
  <si>
    <t>PALO_ALTO</t>
  </si>
  <si>
    <t>RINGCENTRAL</t>
  </si>
  <si>
    <t>YEARLINK</t>
  </si>
  <si>
    <t>CIS-881-PNC-WA</t>
  </si>
  <si>
    <t>10MQS19C00-WA</t>
  </si>
  <si>
    <t>MAT</t>
  </si>
  <si>
    <t>AMS</t>
  </si>
  <si>
    <t>Desktop TC M710q I36100T 4G N W10DG, 128GB SSD Drive</t>
  </si>
  <si>
    <t>10MQS19D00-WA</t>
  </si>
  <si>
    <t>Lenovo M910x 32GB, (2) 512SSD, Core i7 Tiny</t>
  </si>
  <si>
    <t>10MYS0FJ00-WA</t>
  </si>
  <si>
    <t>00</t>
  </si>
  <si>
    <t>VEDGE-100M-VZ-VRZ</t>
  </si>
  <si>
    <t>VEDGE 100AC CHASSIS-SINGLE 4G SIM ETHERNET US</t>
  </si>
  <si>
    <t>FOOD SVC DELIVERY</t>
  </si>
  <si>
    <t>FSD</t>
  </si>
  <si>
    <t>ET1002L 10" WIDESCREEN LED TOUCH</t>
  </si>
  <si>
    <t>E045337-WA</t>
  </si>
  <si>
    <t>APC SMART UPS 1000 VA LCD 120V</t>
  </si>
  <si>
    <t>SMT1000C-WA</t>
  </si>
  <si>
    <t>by:  Leann Phillips</t>
  </si>
  <si>
    <t>.</t>
  </si>
  <si>
    <t>Required Field</t>
  </si>
  <si>
    <t>Input Needed</t>
  </si>
  <si>
    <t>Field Complete</t>
  </si>
  <si>
    <t>Static Field</t>
  </si>
  <si>
    <t>Not Part of Standard Setup</t>
  </si>
  <si>
    <t>203A</t>
  </si>
  <si>
    <t>WAWA 32GB IPAD MR7F2LL/A</t>
  </si>
  <si>
    <t>MR7F2LLA-WA</t>
  </si>
  <si>
    <t>APPLE</t>
  </si>
  <si>
    <t>STAR PRINTER 39464910TSP43IIILAN GY US</t>
  </si>
  <si>
    <t>39464910-WA</t>
  </si>
  <si>
    <t>STAR</t>
  </si>
  <si>
    <t>GRUB HUB SM-T280 SAMSUNG TABLET 8GB LENOVO</t>
  </si>
  <si>
    <t>SM-T280-WA</t>
  </si>
  <si>
    <t>SAMSUNG</t>
  </si>
  <si>
    <t>GH</t>
  </si>
  <si>
    <t>UBER EATS TABLET 8GB LENOVO</t>
  </si>
  <si>
    <t>LEN8GBTAB-WA</t>
  </si>
  <si>
    <t>UE</t>
  </si>
  <si>
    <t>FOOD SERVICE DELIVERY HARDWARE</t>
  </si>
  <si>
    <t>TC52 SCANNER 4/32GB 2D</t>
  </si>
  <si>
    <t>TC520K1PEZU4PNA-WA</t>
  </si>
  <si>
    <t>C1111-8P-WA</t>
  </si>
  <si>
    <t>CISCO 1111 ROUTER ATM PNC</t>
  </si>
  <si>
    <t>VM</t>
  </si>
  <si>
    <t>HP DL380 (VM) SERVER</t>
  </si>
  <si>
    <t>DL380-WA</t>
  </si>
  <si>
    <t>HP</t>
  </si>
  <si>
    <t>LENOVO M625 THIN CLIENT</t>
  </si>
  <si>
    <t>M625-WA</t>
  </si>
  <si>
    <t>ELO E824217 17 IN CAPACITIVE TOUCH</t>
  </si>
  <si>
    <t>E824217-WA</t>
  </si>
  <si>
    <t>SUREPOS 300,4810-X6X 4810E60</t>
  </si>
  <si>
    <t>SCANNER REGISTER DS9908</t>
  </si>
  <si>
    <t>DS9908-WA</t>
  </si>
  <si>
    <t>DOOR DASH TABLET</t>
  </si>
  <si>
    <t>LENOVO M625 THINK CLIENT</t>
  </si>
  <si>
    <t>GRUB HUB</t>
  </si>
  <si>
    <t>UBER EATS</t>
  </si>
  <si>
    <t>DOOR DASH</t>
  </si>
  <si>
    <t>THEATRO HARDWARE</t>
  </si>
  <si>
    <t>VIRTUAL DELIVERY HARDWARE</t>
  </si>
  <si>
    <t>HP DL380 SERVER</t>
  </si>
  <si>
    <t>NON STANDARD HARDWARE</t>
  </si>
  <si>
    <t>Use checkboxes below to select which departments are located within store:</t>
  </si>
  <si>
    <t>Yes</t>
  </si>
  <si>
    <t>JD0731017872</t>
  </si>
  <si>
    <t>T34516</t>
  </si>
  <si>
    <t>T96256</t>
  </si>
  <si>
    <t>T96257</t>
  </si>
  <si>
    <t>T96264</t>
  </si>
  <si>
    <t>T96275</t>
  </si>
  <si>
    <t>D803082340</t>
  </si>
  <si>
    <t>D803082387</t>
  </si>
  <si>
    <t>D803082346</t>
  </si>
  <si>
    <t>T96258</t>
  </si>
  <si>
    <t>T96252</t>
  </si>
  <si>
    <t>41G3248</t>
  </si>
  <si>
    <t>41TWMMW</t>
  </si>
  <si>
    <t>41F5007</t>
  </si>
  <si>
    <t>41TWTLW</t>
  </si>
  <si>
    <t>T96262</t>
  </si>
  <si>
    <t>T96253</t>
  </si>
  <si>
    <t>T96270</t>
  </si>
  <si>
    <t>T96272</t>
  </si>
  <si>
    <t>41G0892</t>
  </si>
  <si>
    <t>41TWMCV</t>
  </si>
  <si>
    <t>T96396</t>
  </si>
  <si>
    <t>T71317</t>
  </si>
  <si>
    <t>T96255</t>
  </si>
  <si>
    <t>T68066</t>
  </si>
  <si>
    <t>T34517</t>
  </si>
  <si>
    <t>T98644</t>
  </si>
  <si>
    <t>T14686</t>
  </si>
  <si>
    <t>T96274</t>
  </si>
  <si>
    <t>T13401</t>
  </si>
  <si>
    <t>T55226</t>
  </si>
  <si>
    <t>T13063</t>
  </si>
  <si>
    <t>T96273</t>
  </si>
  <si>
    <t>216420058804</t>
  </si>
  <si>
    <t>S16361000500789</t>
  </si>
  <si>
    <t>665604</t>
  </si>
  <si>
    <t>S1122900504649</t>
  </si>
  <si>
    <t>664485</t>
  </si>
  <si>
    <t>215120018317</t>
  </si>
  <si>
    <t>S12017000500353</t>
  </si>
  <si>
    <t>664767</t>
  </si>
  <si>
    <t>216320056678</t>
  </si>
  <si>
    <t>S1030100500328</t>
  </si>
  <si>
    <t>664620</t>
  </si>
  <si>
    <t>216420057551</t>
  </si>
  <si>
    <t>T96313</t>
  </si>
  <si>
    <t>663TVV1</t>
  </si>
  <si>
    <t>T96281</t>
  </si>
  <si>
    <t>F16C017836</t>
  </si>
  <si>
    <t>T96282</t>
  </si>
  <si>
    <t>F16C017833</t>
  </si>
  <si>
    <t>T13088</t>
  </si>
  <si>
    <t>F16C017808</t>
  </si>
  <si>
    <t>T96284</t>
  </si>
  <si>
    <t>F16C017843</t>
  </si>
  <si>
    <t>T96291</t>
  </si>
  <si>
    <t>F1CPY25</t>
  </si>
  <si>
    <t>T57820</t>
  </si>
  <si>
    <t>41CTB98</t>
  </si>
  <si>
    <t>T96293</t>
  </si>
  <si>
    <t>41CPY78</t>
  </si>
  <si>
    <t>T96292</t>
  </si>
  <si>
    <t>41CPH36</t>
  </si>
  <si>
    <t>T96309</t>
  </si>
  <si>
    <t>MJ00T2AV</t>
  </si>
  <si>
    <t>T96308</t>
  </si>
  <si>
    <t>A143000858</t>
  </si>
  <si>
    <t>FTX1529836F</t>
  </si>
  <si>
    <t>T60546</t>
  </si>
  <si>
    <t>MJ06QLV0</t>
  </si>
  <si>
    <t>T78721</t>
  </si>
  <si>
    <t>S19022522501834</t>
  </si>
  <si>
    <t>T63996</t>
  </si>
  <si>
    <t>1807100500326</t>
  </si>
  <si>
    <t>T96278</t>
  </si>
  <si>
    <t>T96277</t>
  </si>
  <si>
    <t>T71150</t>
  </si>
  <si>
    <t>T54058</t>
  </si>
  <si>
    <t>T54057</t>
  </si>
  <si>
    <t>T57232</t>
  </si>
  <si>
    <t>T70882</t>
  </si>
  <si>
    <t>T71149</t>
  </si>
  <si>
    <t>CN0JCT737426121J0N9U</t>
  </si>
  <si>
    <t>CN0N445N74261111079U</t>
  </si>
  <si>
    <t>CN01X7XJTV10082C009U</t>
  </si>
  <si>
    <t>CN01X7XJTV10088V0LFU</t>
  </si>
  <si>
    <t>CN01X7XJTV1008950MDU</t>
  </si>
  <si>
    <t>CN0KH0NGQDC007C85WPI</t>
  </si>
  <si>
    <t>CN01X7XJTV1009580WZU</t>
  </si>
  <si>
    <t>CN01X7XJTV1008BU0CPU</t>
  </si>
  <si>
    <t>T96295</t>
  </si>
  <si>
    <t>T70289</t>
  </si>
  <si>
    <t>T54056</t>
  </si>
  <si>
    <t>T35203</t>
  </si>
  <si>
    <t>T96301</t>
  </si>
  <si>
    <t>T96304</t>
  </si>
  <si>
    <t>T54054</t>
  </si>
  <si>
    <t>T24985</t>
  </si>
  <si>
    <t>T54673</t>
  </si>
  <si>
    <t>T57233</t>
  </si>
  <si>
    <t>T57234</t>
  </si>
  <si>
    <t>20334</t>
  </si>
  <si>
    <t>61045</t>
  </si>
  <si>
    <t>X6AK006463</t>
  </si>
  <si>
    <t>53172644</t>
  </si>
  <si>
    <t>J1MG107664</t>
  </si>
  <si>
    <t>20-55036108</t>
  </si>
  <si>
    <t>46408249</t>
  </si>
  <si>
    <t>53172625</t>
  </si>
  <si>
    <t>53172977</t>
  </si>
  <si>
    <t>MXDF942197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</si>
</sst>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00000"/>
    <numFmt numFmtId="165" formatCode="00000\-000\-000\-00"/>
    <numFmt numFmtId="166" formatCode="&quot;T&quot;0000"/>
    <numFmt numFmtId="167" formatCode="0000.0000"/>
  </numFmts>
  <fonts count="4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8"/>
      <name val="Cambria"/>
      <family val="1"/>
    </font>
    <font>
      <b/>
      <sz val="9"/>
      <color indexed="8"/>
      <name val="Tahoma"/>
      <family val="2"/>
    </font>
    <font>
      <sz val="9"/>
      <color indexed="8"/>
      <name val="Tahoma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indexed="8"/>
      <name val="Times New Roman"/>
      <family val="1"/>
    </font>
    <font>
      <sz val="11"/>
      <name val="Times New Roman"/>
      <family val="1"/>
    </font>
    <font>
      <sz val="11"/>
      <color theme="1"/>
      <name val="Arial"/>
      <family val="2"/>
    </font>
    <font>
      <sz val="10"/>
      <color theme="1"/>
      <name val="Comic Sans MS"/>
      <family val="4"/>
    </font>
    <font>
      <b/>
      <sz val="11"/>
      <color theme="3"/>
      <name val="Times New Roman"/>
      <family val="1"/>
    </font>
    <font>
      <b/>
      <i/>
      <sz val="11"/>
      <name val="Times New Roman"/>
      <family val="1"/>
    </font>
    <font>
      <sz val="8"/>
      <color rgb="FF000000"/>
      <name val="Segoe UI"/>
      <family val="2"/>
    </font>
    <font>
      <b/>
      <sz val="18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name val="Times New Roman"/>
      <family val="1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0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38">
    <xf numFmtId="0" fontId="0" fillId="0" borderId="0"/>
    <xf numFmtId="0" fontId="6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1" applyNumberFormat="0" applyFill="0" applyAlignment="0" applyProtection="0"/>
    <xf numFmtId="0" fontId="10" fillId="0" borderId="2" applyNumberFormat="0" applyFill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8" borderId="0" applyNumberFormat="0" applyBorder="0" applyAlignment="0" applyProtection="0"/>
    <xf numFmtId="0" fontId="12" fillId="11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22" borderId="0" applyNumberFormat="0" applyBorder="0" applyAlignment="0" applyProtection="0"/>
    <xf numFmtId="0" fontId="14" fillId="6" borderId="0" applyNumberFormat="0" applyBorder="0" applyAlignment="0" applyProtection="0"/>
    <xf numFmtId="0" fontId="15" fillId="23" borderId="7" applyNumberFormat="0" applyAlignment="0" applyProtection="0"/>
    <xf numFmtId="0" fontId="16" fillId="24" borderId="8" applyNumberFormat="0" applyAlignment="0" applyProtection="0"/>
    <xf numFmtId="0" fontId="17" fillId="0" borderId="0" applyNumberFormat="0" applyFill="0" applyBorder="0" applyAlignment="0" applyProtection="0"/>
    <xf numFmtId="0" fontId="18" fillId="7" borderId="0" applyNumberFormat="0" applyBorder="0" applyAlignment="0" applyProtection="0"/>
    <xf numFmtId="0" fontId="19" fillId="0" borderId="9" applyNumberFormat="0" applyFill="0" applyAlignment="0" applyProtection="0"/>
    <xf numFmtId="0" fontId="20" fillId="0" borderId="10" applyNumberFormat="0" applyFill="0" applyAlignment="0" applyProtection="0"/>
    <xf numFmtId="0" fontId="21" fillId="0" borderId="11" applyNumberFormat="0" applyFill="0" applyAlignment="0" applyProtection="0"/>
    <xf numFmtId="0" fontId="21" fillId="0" borderId="0" applyNumberFormat="0" applyFill="0" applyBorder="0" applyAlignment="0" applyProtection="0"/>
    <xf numFmtId="0" fontId="22" fillId="10" borderId="7" applyNumberFormat="0" applyAlignment="0" applyProtection="0"/>
    <xf numFmtId="0" fontId="23" fillId="0" borderId="12" applyNumberFormat="0" applyFill="0" applyAlignment="0" applyProtection="0"/>
    <xf numFmtId="0" fontId="24" fillId="25" borderId="0" applyNumberFormat="0" applyBorder="0" applyAlignment="0" applyProtection="0"/>
    <xf numFmtId="0" fontId="6" fillId="26" borderId="13" applyNumberFormat="0" applyAlignment="0" applyProtection="0"/>
    <xf numFmtId="0" fontId="25" fillId="23" borderId="14" applyNumberForma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0" borderId="0" applyNumberFormat="0" applyFill="0" applyBorder="0" applyAlignment="0" applyProtection="0"/>
    <xf numFmtId="0" fontId="1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358">
    <xf numFmtId="0" fontId="0" fillId="0" borderId="0" xfId="0"/>
    <xf numFmtId="0" fontId="0" fillId="0" borderId="0" xfId="0" applyFill="1"/>
    <xf numFmtId="0" fontId="0" fillId="0" borderId="0" xfId="0" applyFill="1" applyBorder="1"/>
    <xf numFmtId="49" fontId="0" fillId="0" borderId="0" xfId="0" applyNumberFormat="1" applyFill="1"/>
    <xf numFmtId="0" fontId="0" fillId="0" borderId="0" xfId="0" applyFont="1" applyFill="1"/>
    <xf numFmtId="0" fontId="29" fillId="3" borderId="26" xfId="10" applyFont="1" applyFill="1" applyBorder="1" applyAlignment="1" applyProtection="1">
      <alignment horizontal="center" vertical="center" wrapText="1"/>
      <protection locked="0"/>
    </xf>
    <xf numFmtId="0" fontId="31" fillId="2" borderId="3" xfId="0" applyFont="1" applyFill="1" applyBorder="1" applyAlignment="1" applyProtection="1">
      <alignment horizontal="center" vertical="center"/>
      <protection locked="0"/>
    </xf>
    <xf numFmtId="49" fontId="2" fillId="30" borderId="23" xfId="0" applyNumberFormat="1" applyFont="1" applyFill="1" applyBorder="1"/>
    <xf numFmtId="49" fontId="2" fillId="30" borderId="3" xfId="0" applyNumberFormat="1" applyFont="1" applyFill="1" applyBorder="1"/>
    <xf numFmtId="49" fontId="2" fillId="30" borderId="24" xfId="0" applyNumberFormat="1" applyFont="1" applyFill="1" applyBorder="1"/>
    <xf numFmtId="0" fontId="0" fillId="30" borderId="39" xfId="0" applyFill="1" applyBorder="1"/>
    <xf numFmtId="0" fontId="0" fillId="30" borderId="37" xfId="0" applyFill="1" applyBorder="1"/>
    <xf numFmtId="0" fontId="0" fillId="30" borderId="38" xfId="0" applyFill="1" applyBorder="1"/>
    <xf numFmtId="0" fontId="12" fillId="30" borderId="39" xfId="0" applyFont="1" applyFill="1" applyBorder="1"/>
    <xf numFmtId="49" fontId="0" fillId="30" borderId="39" xfId="0" applyNumberFormat="1" applyFill="1" applyBorder="1"/>
    <xf numFmtId="49" fontId="0" fillId="30" borderId="37" xfId="0" applyNumberFormat="1" applyFill="1" applyBorder="1"/>
    <xf numFmtId="49" fontId="0" fillId="30" borderId="41" xfId="0" applyNumberFormat="1" applyFill="1" applyBorder="1"/>
    <xf numFmtId="49" fontId="0" fillId="30" borderId="40" xfId="0" applyNumberFormat="1" applyFill="1" applyBorder="1"/>
    <xf numFmtId="0" fontId="0" fillId="30" borderId="40" xfId="0" applyFill="1" applyBorder="1"/>
    <xf numFmtId="0" fontId="0" fillId="30" borderId="42" xfId="0" applyFill="1" applyBorder="1"/>
    <xf numFmtId="49" fontId="2" fillId="29" borderId="23" xfId="0" applyNumberFormat="1" applyFont="1" applyFill="1" applyBorder="1"/>
    <xf numFmtId="49" fontId="2" fillId="29" borderId="3" xfId="0" applyNumberFormat="1" applyFont="1" applyFill="1" applyBorder="1"/>
    <xf numFmtId="49" fontId="2" fillId="29" borderId="24" xfId="0" applyNumberFormat="1" applyFont="1" applyFill="1" applyBorder="1"/>
    <xf numFmtId="0" fontId="12" fillId="29" borderId="39" xfId="0" applyFont="1" applyFill="1" applyBorder="1"/>
    <xf numFmtId="0" fontId="0" fillId="29" borderId="37" xfId="0" applyFill="1" applyBorder="1"/>
    <xf numFmtId="0" fontId="0" fillId="29" borderId="38" xfId="0" applyFill="1" applyBorder="1"/>
    <xf numFmtId="0" fontId="1" fillId="29" borderId="37" xfId="0" applyFont="1" applyFill="1" applyBorder="1"/>
    <xf numFmtId="0" fontId="1" fillId="29" borderId="38" xfId="0" applyFont="1" applyFill="1" applyBorder="1"/>
    <xf numFmtId="0" fontId="0" fillId="29" borderId="39" xfId="0" applyFill="1" applyBorder="1"/>
    <xf numFmtId="49" fontId="0" fillId="29" borderId="39" xfId="0" applyNumberFormat="1" applyFill="1" applyBorder="1"/>
    <xf numFmtId="49" fontId="0" fillId="29" borderId="37" xfId="0" applyNumberFormat="1" applyFill="1" applyBorder="1"/>
    <xf numFmtId="49" fontId="0" fillId="29" borderId="41" xfId="0" applyNumberFormat="1" applyFill="1" applyBorder="1"/>
    <xf numFmtId="49" fontId="0" fillId="29" borderId="40" xfId="0" applyNumberFormat="1" applyFill="1" applyBorder="1"/>
    <xf numFmtId="0" fontId="0" fillId="29" borderId="40" xfId="0" applyFill="1" applyBorder="1"/>
    <xf numFmtId="0" fontId="0" fillId="29" borderId="42" xfId="0" applyFill="1" applyBorder="1"/>
    <xf numFmtId="0" fontId="1" fillId="30" borderId="39" xfId="0" applyFont="1" applyFill="1" applyBorder="1"/>
    <xf numFmtId="0" fontId="1" fillId="30" borderId="37" xfId="0" applyFont="1" applyFill="1" applyBorder="1"/>
    <xf numFmtId="0" fontId="1" fillId="30" borderId="38" xfId="0" applyFont="1" applyFill="1" applyBorder="1"/>
    <xf numFmtId="0" fontId="0" fillId="30" borderId="41" xfId="0" applyFill="1" applyBorder="1"/>
    <xf numFmtId="49" fontId="5" fillId="0" borderId="0" xfId="0" applyNumberFormat="1" applyFont="1" applyFill="1" applyBorder="1" applyAlignment="1"/>
    <xf numFmtId="49" fontId="2" fillId="0" borderId="0" xfId="0" applyNumberFormat="1" applyFont="1" applyFill="1" applyBorder="1"/>
    <xf numFmtId="0" fontId="0" fillId="30" borderId="43" xfId="0" applyFill="1" applyBorder="1"/>
    <xf numFmtId="0" fontId="0" fillId="30" borderId="45" xfId="0" applyFill="1" applyBorder="1"/>
    <xf numFmtId="0" fontId="31" fillId="2" borderId="46" xfId="0" applyFont="1" applyFill="1" applyBorder="1" applyAlignment="1" applyProtection="1">
      <alignment horizontal="center" vertical="center"/>
      <protection locked="0"/>
    </xf>
    <xf numFmtId="0" fontId="31" fillId="0" borderId="5" xfId="0" applyFont="1" applyFill="1" applyBorder="1" applyAlignment="1" applyProtection="1">
      <alignment horizontal="center" vertical="center"/>
    </xf>
    <xf numFmtId="0" fontId="31" fillId="0" borderId="5" xfId="0" applyFont="1" applyFill="1" applyBorder="1" applyAlignment="1" applyProtection="1">
      <alignment horizontal="center" vertical="center"/>
      <protection locked="0"/>
    </xf>
    <xf numFmtId="0" fontId="31" fillId="0" borderId="3" xfId="0" applyFont="1" applyFill="1" applyBorder="1" applyAlignment="1" applyProtection="1">
      <alignment horizontal="center" vertical="center"/>
    </xf>
    <xf numFmtId="0" fontId="31" fillId="0" borderId="3" xfId="0" applyFont="1" applyFill="1" applyBorder="1" applyAlignment="1" applyProtection="1">
      <alignment horizontal="center" vertical="center"/>
      <protection locked="0"/>
    </xf>
    <xf numFmtId="0" fontId="31" fillId="0" borderId="46" xfId="0" applyFont="1" applyFill="1" applyBorder="1" applyAlignment="1" applyProtection="1">
      <alignment horizontal="center" vertical="center"/>
    </xf>
    <xf numFmtId="0" fontId="31" fillId="0" borderId="46" xfId="0" applyFont="1" applyFill="1" applyBorder="1" applyAlignment="1" applyProtection="1">
      <alignment horizontal="center" vertical="center"/>
      <protection locked="0"/>
    </xf>
    <xf numFmtId="0" fontId="31" fillId="0" borderId="49" xfId="0" applyFont="1" applyFill="1" applyBorder="1" applyAlignment="1" applyProtection="1">
      <alignment horizontal="center" vertical="center"/>
    </xf>
    <xf numFmtId="0" fontId="31" fillId="0" borderId="52" xfId="0" applyFont="1" applyFill="1" applyBorder="1" applyAlignment="1" applyProtection="1">
      <alignment horizontal="center" vertical="center"/>
      <protection locked="0"/>
    </xf>
    <xf numFmtId="0" fontId="31" fillId="0" borderId="49" xfId="0" applyFont="1" applyFill="1" applyBorder="1" applyAlignment="1" applyProtection="1">
      <alignment horizontal="center" vertical="center"/>
      <protection locked="0"/>
    </xf>
    <xf numFmtId="0" fontId="29" fillId="31" borderId="26" xfId="10" applyFont="1" applyFill="1" applyBorder="1" applyAlignment="1" applyProtection="1">
      <alignment horizontal="center" vertical="center"/>
      <protection locked="0"/>
    </xf>
    <xf numFmtId="49" fontId="5" fillId="30" borderId="21" xfId="0" applyNumberFormat="1" applyFont="1" applyFill="1" applyBorder="1" applyAlignment="1">
      <alignment horizontal="center" vertical="center"/>
    </xf>
    <xf numFmtId="0" fontId="0" fillId="30" borderId="47" xfId="0" applyFill="1" applyBorder="1"/>
    <xf numFmtId="0" fontId="0" fillId="30" borderId="46" xfId="0" applyFill="1" applyBorder="1"/>
    <xf numFmtId="0" fontId="0" fillId="30" borderId="48" xfId="0" applyFill="1" applyBorder="1"/>
    <xf numFmtId="0" fontId="12" fillId="30" borderId="47" xfId="0" applyFont="1" applyFill="1" applyBorder="1"/>
    <xf numFmtId="0" fontId="12" fillId="29" borderId="47" xfId="0" applyFont="1" applyFill="1" applyBorder="1"/>
    <xf numFmtId="0" fontId="0" fillId="29" borderId="46" xfId="0" applyFill="1" applyBorder="1"/>
    <xf numFmtId="0" fontId="0" fillId="29" borderId="48" xfId="0" applyFill="1" applyBorder="1"/>
    <xf numFmtId="0" fontId="0" fillId="29" borderId="47" xfId="0" applyFill="1" applyBorder="1"/>
    <xf numFmtId="0" fontId="31" fillId="2" borderId="52" xfId="0" applyFont="1" applyFill="1" applyBorder="1" applyAlignment="1" applyProtection="1">
      <alignment horizontal="center" vertical="center"/>
      <protection locked="0"/>
    </xf>
    <xf numFmtId="0" fontId="29" fillId="31" borderId="25" xfId="10" applyFont="1" applyFill="1" applyBorder="1" applyAlignment="1" applyProtection="1">
      <alignment horizontal="center" vertical="center"/>
      <protection locked="0"/>
    </xf>
    <xf numFmtId="0" fontId="31" fillId="2" borderId="5" xfId="0" applyFont="1" applyFill="1" applyBorder="1" applyAlignment="1" applyProtection="1">
      <alignment horizontal="center" vertical="center"/>
      <protection locked="0"/>
    </xf>
    <xf numFmtId="49" fontId="33" fillId="4" borderId="5" xfId="1" applyNumberFormat="1" applyFont="1" applyFill="1" applyBorder="1" applyAlignment="1" applyProtection="1">
      <alignment horizontal="center" vertical="center"/>
      <protection locked="0"/>
    </xf>
    <xf numFmtId="49" fontId="33" fillId="4" borderId="46" xfId="1" applyNumberFormat="1" applyFont="1" applyFill="1" applyBorder="1" applyAlignment="1" applyProtection="1">
      <alignment horizontal="center" vertical="center"/>
      <protection locked="0"/>
    </xf>
    <xf numFmtId="49" fontId="33" fillId="4" borderId="52" xfId="1" applyNumberFormat="1" applyFont="1" applyFill="1" applyBorder="1" applyAlignment="1" applyProtection="1">
      <alignment horizontal="center" vertical="center"/>
      <protection locked="0"/>
    </xf>
    <xf numFmtId="49" fontId="29" fillId="31" borderId="26" xfId="10" applyNumberFormat="1" applyFont="1" applyFill="1" applyBorder="1" applyAlignment="1" applyProtection="1">
      <alignment horizontal="center" vertical="center"/>
      <protection locked="0"/>
    </xf>
    <xf numFmtId="49" fontId="33" fillId="4" borderId="3" xfId="1" applyNumberFormat="1" applyFont="1" applyFill="1" applyBorder="1" applyAlignment="1" applyProtection="1">
      <alignment horizontal="center" vertical="center"/>
      <protection locked="0"/>
    </xf>
    <xf numFmtId="0" fontId="31" fillId="2" borderId="47" xfId="0" applyFont="1" applyFill="1" applyBorder="1" applyAlignment="1" applyProtection="1">
      <alignment horizontal="center" vertical="center"/>
      <protection locked="0"/>
    </xf>
    <xf numFmtId="49" fontId="31" fillId="0" borderId="46" xfId="0" applyNumberFormat="1" applyFont="1" applyFill="1" applyBorder="1" applyAlignment="1" applyProtection="1">
      <alignment horizontal="center" vertical="center"/>
      <protection locked="0"/>
    </xf>
    <xf numFmtId="49" fontId="31" fillId="0" borderId="49" xfId="0" applyNumberFormat="1" applyFont="1" applyFill="1" applyBorder="1" applyAlignment="1" applyProtection="1">
      <alignment horizontal="center" vertical="center"/>
      <protection locked="0"/>
    </xf>
    <xf numFmtId="49" fontId="29" fillId="3" borderId="26" xfId="10" applyNumberFormat="1" applyFont="1" applyFill="1" applyBorder="1" applyAlignment="1" applyProtection="1">
      <alignment horizontal="center" vertical="center" wrapText="1"/>
      <protection locked="0"/>
    </xf>
    <xf numFmtId="49" fontId="33" fillId="0" borderId="46" xfId="1" applyNumberFormat="1" applyFont="1" applyFill="1" applyBorder="1" applyAlignment="1" applyProtection="1">
      <alignment horizontal="center" vertical="center"/>
      <protection locked="0"/>
    </xf>
    <xf numFmtId="0" fontId="5" fillId="29" borderId="21" xfId="0" applyFont="1" applyFill="1" applyBorder="1" applyAlignment="1">
      <alignment horizontal="center" vertical="center"/>
    </xf>
    <xf numFmtId="0" fontId="0" fillId="29" borderId="45" xfId="0" applyFill="1" applyBorder="1"/>
    <xf numFmtId="49" fontId="0" fillId="0" borderId="0" xfId="0" applyNumberFormat="1" applyFill="1" applyBorder="1"/>
    <xf numFmtId="0" fontId="12" fillId="29" borderId="50" xfId="0" applyFont="1" applyFill="1" applyBorder="1"/>
    <xf numFmtId="0" fontId="0" fillId="29" borderId="49" xfId="0" applyFill="1" applyBorder="1"/>
    <xf numFmtId="0" fontId="0" fillId="29" borderId="51" xfId="0" applyFill="1" applyBorder="1"/>
    <xf numFmtId="0" fontId="1" fillId="30" borderId="47" xfId="0" applyFont="1" applyFill="1" applyBorder="1"/>
    <xf numFmtId="0" fontId="1" fillId="30" borderId="46" xfId="0" applyFont="1" applyFill="1" applyBorder="1"/>
    <xf numFmtId="0" fontId="1" fillId="30" borderId="48" xfId="0" applyFont="1" applyFill="1" applyBorder="1"/>
    <xf numFmtId="0" fontId="0" fillId="29" borderId="39" xfId="0" applyFont="1" applyFill="1" applyBorder="1" applyAlignment="1">
      <alignment wrapText="1"/>
    </xf>
    <xf numFmtId="0" fontId="0" fillId="29" borderId="37" xfId="0" applyFont="1" applyFill="1" applyBorder="1" applyAlignment="1">
      <alignment wrapText="1"/>
    </xf>
    <xf numFmtId="0" fontId="0" fillId="29" borderId="38" xfId="0" applyFont="1" applyFill="1" applyBorder="1" applyAlignment="1">
      <alignment wrapText="1"/>
    </xf>
    <xf numFmtId="0" fontId="31" fillId="0" borderId="53" xfId="0" applyFont="1" applyFill="1" applyBorder="1" applyAlignment="1" applyProtection="1">
      <alignment horizontal="center" vertical="center"/>
      <protection locked="0"/>
    </xf>
    <xf numFmtId="166" fontId="33" fillId="4" borderId="46" xfId="1" applyNumberFormat="1" applyFont="1" applyFill="1" applyBorder="1" applyAlignment="1" applyProtection="1">
      <alignment horizontal="center" vertical="center"/>
      <protection locked="0"/>
    </xf>
    <xf numFmtId="166" fontId="33" fillId="4" borderId="3" xfId="1" applyNumberFormat="1" applyFont="1" applyFill="1" applyBorder="1" applyAlignment="1" applyProtection="1">
      <alignment horizontal="center" vertical="center"/>
      <protection locked="0"/>
    </xf>
    <xf numFmtId="166" fontId="33" fillId="4" borderId="52" xfId="1" applyNumberFormat="1" applyFont="1" applyFill="1" applyBorder="1" applyAlignment="1" applyProtection="1">
      <alignment horizontal="center" vertical="center"/>
      <protection locked="0"/>
    </xf>
    <xf numFmtId="166" fontId="33" fillId="0" borderId="46" xfId="1" applyNumberFormat="1" applyFont="1" applyFill="1" applyBorder="1" applyAlignment="1" applyProtection="1">
      <alignment horizontal="center" vertical="center"/>
      <protection locked="0"/>
    </xf>
    <xf numFmtId="0" fontId="0" fillId="30" borderId="44" xfId="0" applyFill="1" applyBorder="1"/>
    <xf numFmtId="0" fontId="0" fillId="29" borderId="55" xfId="0" applyFill="1" applyBorder="1"/>
    <xf numFmtId="0" fontId="0" fillId="29" borderId="56" xfId="0" applyFill="1" applyBorder="1"/>
    <xf numFmtId="0" fontId="0" fillId="29" borderId="57" xfId="0" applyFill="1" applyBorder="1"/>
    <xf numFmtId="0" fontId="0" fillId="29" borderId="58" xfId="0" applyFill="1" applyBorder="1"/>
    <xf numFmtId="0" fontId="0" fillId="29" borderId="59" xfId="0" applyFill="1" applyBorder="1"/>
    <xf numFmtId="0" fontId="0" fillId="29" borderId="60" xfId="0" applyFill="1" applyBorder="1"/>
    <xf numFmtId="0" fontId="1" fillId="30" borderId="63" xfId="0" applyFont="1" applyFill="1" applyBorder="1"/>
    <xf numFmtId="0" fontId="1" fillId="30" borderId="65" xfId="0" applyFont="1" applyFill="1" applyBorder="1"/>
    <xf numFmtId="49" fontId="31" fillId="0" borderId="28" xfId="0" applyNumberFormat="1" applyFont="1" applyFill="1" applyBorder="1" applyAlignment="1" applyProtection="1">
      <alignment horizontal="center" vertical="center"/>
      <protection locked="0"/>
    </xf>
    <xf numFmtId="0" fontId="31" fillId="0" borderId="62" xfId="0" applyFont="1" applyFill="1" applyBorder="1" applyAlignment="1" applyProtection="1">
      <alignment horizontal="center" vertical="center"/>
    </xf>
    <xf numFmtId="0" fontId="31" fillId="0" borderId="61" xfId="0" applyFont="1" applyFill="1" applyBorder="1" applyAlignment="1" applyProtection="1">
      <alignment horizontal="center" vertical="center"/>
    </xf>
    <xf numFmtId="0" fontId="31" fillId="0" borderId="52" xfId="0" applyFont="1" applyFill="1" applyBorder="1" applyAlignment="1" applyProtection="1">
      <alignment horizontal="center" vertical="center"/>
    </xf>
    <xf numFmtId="165" fontId="31" fillId="0" borderId="62" xfId="0" applyNumberFormat="1" applyFont="1" applyFill="1" applyBorder="1" applyAlignment="1" applyProtection="1">
      <alignment horizontal="center" vertical="center"/>
    </xf>
    <xf numFmtId="0" fontId="31" fillId="0" borderId="47" xfId="0" applyFont="1" applyFill="1" applyBorder="1" applyAlignment="1" applyProtection="1">
      <alignment horizontal="center" vertical="center"/>
      <protection locked="0"/>
    </xf>
    <xf numFmtId="49" fontId="2" fillId="29" borderId="64" xfId="0" applyNumberFormat="1" applyFont="1" applyFill="1" applyBorder="1"/>
    <xf numFmtId="49" fontId="2" fillId="29" borderId="63" xfId="0" applyNumberFormat="1" applyFont="1" applyFill="1" applyBorder="1"/>
    <xf numFmtId="49" fontId="2" fillId="29" borderId="65" xfId="0" applyNumberFormat="1" applyFont="1" applyFill="1" applyBorder="1"/>
    <xf numFmtId="49" fontId="0" fillId="29" borderId="64" xfId="0" applyNumberFormat="1" applyFill="1" applyBorder="1"/>
    <xf numFmtId="49" fontId="0" fillId="29" borderId="63" xfId="0" applyNumberFormat="1" applyFill="1" applyBorder="1"/>
    <xf numFmtId="0" fontId="0" fillId="29" borderId="65" xfId="0" applyFill="1" applyBorder="1"/>
    <xf numFmtId="0" fontId="0" fillId="29" borderId="63" xfId="0" applyFill="1" applyBorder="1"/>
    <xf numFmtId="49" fontId="0" fillId="29" borderId="69" xfId="0" applyNumberFormat="1" applyFill="1" applyBorder="1"/>
    <xf numFmtId="49" fontId="0" fillId="29" borderId="68" xfId="0" applyNumberFormat="1" applyFill="1" applyBorder="1"/>
    <xf numFmtId="0" fontId="0" fillId="29" borderId="68" xfId="0" applyFill="1" applyBorder="1"/>
    <xf numFmtId="0" fontId="0" fillId="29" borderId="70" xfId="0" applyFill="1" applyBorder="1"/>
    <xf numFmtId="49" fontId="0" fillId="29" borderId="71" xfId="0" applyNumberFormat="1" applyFill="1" applyBorder="1"/>
    <xf numFmtId="0" fontId="0" fillId="29" borderId="71" xfId="0" applyFill="1" applyBorder="1"/>
    <xf numFmtId="0" fontId="34" fillId="30" borderId="0" xfId="0" applyFont="1" applyFill="1"/>
    <xf numFmtId="0" fontId="31" fillId="2" borderId="77" xfId="0" applyFont="1" applyFill="1" applyBorder="1" applyAlignment="1" applyProtection="1">
      <alignment horizontal="center" vertical="center"/>
      <protection locked="0"/>
    </xf>
    <xf numFmtId="166" fontId="33" fillId="4" borderId="77" xfId="1" applyNumberFormat="1" applyFont="1" applyFill="1" applyBorder="1" applyAlignment="1" applyProtection="1">
      <alignment horizontal="center" vertical="center"/>
      <protection locked="0"/>
    </xf>
    <xf numFmtId="49" fontId="33" fillId="4" borderId="77" xfId="1" applyNumberFormat="1" applyFont="1" applyFill="1" applyBorder="1" applyAlignment="1" applyProtection="1">
      <alignment horizontal="center" vertical="center"/>
      <protection locked="0"/>
    </xf>
    <xf numFmtId="0" fontId="31" fillId="0" borderId="77" xfId="0" applyFont="1" applyFill="1" applyBorder="1" applyAlignment="1" applyProtection="1">
      <alignment horizontal="center" vertical="center"/>
    </xf>
    <xf numFmtId="0" fontId="35" fillId="30" borderId="80" xfId="0" applyFont="1" applyFill="1" applyBorder="1" applyAlignment="1">
      <alignment vertical="center"/>
    </xf>
    <xf numFmtId="0" fontId="31" fillId="0" borderId="0" xfId="0" applyFont="1" applyFill="1" applyAlignment="1" applyProtection="1">
      <alignment vertical="center"/>
      <protection locked="0"/>
    </xf>
    <xf numFmtId="49" fontId="31" fillId="0" borderId="23" xfId="0" applyNumberFormat="1" applyFont="1" applyFill="1" applyBorder="1" applyAlignment="1" applyProtection="1">
      <alignment horizontal="center" vertical="center"/>
      <protection locked="0"/>
    </xf>
    <xf numFmtId="49" fontId="31" fillId="0" borderId="53" xfId="0" applyNumberFormat="1" applyFont="1" applyFill="1" applyBorder="1" applyAlignment="1" applyProtection="1">
      <alignment horizontal="center" vertical="center"/>
      <protection locked="0"/>
    </xf>
    <xf numFmtId="0" fontId="31" fillId="0" borderId="81" xfId="0" applyFont="1" applyFill="1" applyBorder="1" applyAlignment="1" applyProtection="1">
      <alignment horizontal="center" vertical="center"/>
    </xf>
    <xf numFmtId="0" fontId="31" fillId="0" borderId="81" xfId="0" applyFont="1" applyFill="1" applyBorder="1" applyAlignment="1" applyProtection="1">
      <alignment horizontal="center" vertical="center"/>
      <protection locked="0"/>
    </xf>
    <xf numFmtId="165" fontId="31" fillId="0" borderId="3" xfId="0" applyNumberFormat="1" applyFont="1" applyFill="1" applyBorder="1" applyAlignment="1" applyProtection="1">
      <alignment horizontal="center" vertical="center"/>
    </xf>
    <xf numFmtId="165" fontId="31" fillId="0" borderId="85" xfId="0" applyNumberFormat="1" applyFont="1" applyFill="1" applyBorder="1" applyAlignment="1" applyProtection="1">
      <alignment horizontal="center" vertical="center"/>
    </xf>
    <xf numFmtId="0" fontId="29" fillId="31" borderId="26" xfId="10" applyFont="1" applyFill="1" applyBorder="1" applyAlignment="1" applyProtection="1">
      <alignment horizontal="center" vertical="center"/>
    </xf>
    <xf numFmtId="0" fontId="29" fillId="31" borderId="22" xfId="10" applyFont="1" applyFill="1" applyBorder="1" applyAlignment="1" applyProtection="1">
      <alignment horizontal="center" vertical="center"/>
    </xf>
    <xf numFmtId="0" fontId="31" fillId="0" borderId="6" xfId="0" applyFont="1" applyFill="1" applyBorder="1" applyAlignment="1" applyProtection="1">
      <alignment horizontal="center" vertical="center"/>
    </xf>
    <xf numFmtId="0" fontId="31" fillId="0" borderId="48" xfId="0" applyFont="1" applyFill="1" applyBorder="1" applyAlignment="1" applyProtection="1">
      <alignment horizontal="center" vertical="center"/>
    </xf>
    <xf numFmtId="0" fontId="31" fillId="0" borderId="79" xfId="0" applyFont="1" applyFill="1" applyBorder="1" applyAlignment="1" applyProtection="1">
      <alignment horizontal="center" vertical="center"/>
    </xf>
    <xf numFmtId="0" fontId="31" fillId="0" borderId="54" xfId="0" applyFont="1" applyFill="1" applyBorder="1" applyAlignment="1" applyProtection="1">
      <alignment horizontal="center" vertical="center"/>
    </xf>
    <xf numFmtId="0" fontId="31" fillId="0" borderId="24" xfId="0" applyFont="1" applyFill="1" applyBorder="1" applyAlignment="1" applyProtection="1">
      <alignment horizontal="center" vertical="center"/>
    </xf>
    <xf numFmtId="0" fontId="30" fillId="0" borderId="24" xfId="0" applyFont="1" applyFill="1" applyBorder="1" applyAlignment="1" applyProtection="1">
      <alignment horizontal="center" vertical="center" wrapText="1"/>
    </xf>
    <xf numFmtId="0" fontId="30" fillId="0" borderId="48" xfId="0" applyFont="1" applyFill="1" applyBorder="1" applyAlignment="1" applyProtection="1">
      <alignment horizontal="center" vertical="center" wrapText="1"/>
    </xf>
    <xf numFmtId="0" fontId="30" fillId="0" borderId="86" xfId="0" applyFont="1" applyFill="1" applyBorder="1" applyAlignment="1" applyProtection="1">
      <alignment horizontal="center" vertical="center" wrapText="1"/>
    </xf>
    <xf numFmtId="0" fontId="29" fillId="31" borderId="26" xfId="10" applyFont="1" applyFill="1" applyBorder="1" applyAlignment="1" applyProtection="1">
      <alignment horizontal="center" vertical="center" wrapText="1"/>
    </xf>
    <xf numFmtId="0" fontId="29" fillId="31" borderId="22" xfId="10" applyFont="1" applyFill="1" applyBorder="1" applyAlignment="1" applyProtection="1">
      <alignment horizontal="center" vertical="center" wrapText="1"/>
    </xf>
    <xf numFmtId="0" fontId="31" fillId="0" borderId="51" xfId="0" applyFont="1" applyFill="1" applyBorder="1" applyAlignment="1" applyProtection="1">
      <alignment horizontal="center" vertical="center"/>
    </xf>
    <xf numFmtId="0" fontId="31" fillId="0" borderId="83" xfId="0" applyFont="1" applyFill="1" applyBorder="1" applyAlignment="1" applyProtection="1">
      <alignment horizontal="center" vertical="center"/>
    </xf>
    <xf numFmtId="49" fontId="31" fillId="0" borderId="47" xfId="0" applyNumberFormat="1" applyFont="1" applyFill="1" applyBorder="1" applyAlignment="1" applyProtection="1">
      <alignment horizontal="center" vertical="center"/>
      <protection locked="0"/>
    </xf>
    <xf numFmtId="49" fontId="31" fillId="0" borderId="50" xfId="0" applyNumberFormat="1" applyFont="1" applyFill="1" applyBorder="1" applyAlignment="1" applyProtection="1">
      <alignment horizontal="center" vertical="center"/>
      <protection locked="0"/>
    </xf>
    <xf numFmtId="49" fontId="31" fillId="0" borderId="27" xfId="0" applyNumberFormat="1" applyFont="1" applyFill="1" applyBorder="1" applyAlignment="1" applyProtection="1">
      <alignment horizontal="center" vertical="center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50" xfId="0" applyFont="1" applyFill="1" applyBorder="1" applyAlignment="1" applyProtection="1">
      <alignment horizontal="center" vertical="center"/>
      <protection locked="0"/>
    </xf>
    <xf numFmtId="0" fontId="31" fillId="0" borderId="4" xfId="0" applyFont="1" applyFill="1" applyBorder="1" applyAlignment="1" applyProtection="1">
      <alignment horizontal="center" vertical="center"/>
      <protection locked="0"/>
    </xf>
    <xf numFmtId="0" fontId="31" fillId="0" borderId="76" xfId="0" applyFont="1" applyFill="1" applyBorder="1" applyAlignment="1" applyProtection="1">
      <alignment horizontal="center" vertical="center"/>
      <protection locked="0"/>
    </xf>
    <xf numFmtId="0" fontId="31" fillId="0" borderId="20" xfId="0" applyFont="1" applyFill="1" applyBorder="1" applyAlignment="1" applyProtection="1">
      <alignment horizontal="center" vertical="center"/>
      <protection locked="0"/>
    </xf>
    <xf numFmtId="0" fontId="29" fillId="3" borderId="25" xfId="10" applyFont="1" applyFill="1" applyBorder="1" applyAlignment="1" applyProtection="1">
      <alignment horizontal="center" vertical="center"/>
      <protection locked="0"/>
    </xf>
    <xf numFmtId="0" fontId="31" fillId="0" borderId="82" xfId="0" applyFont="1" applyFill="1" applyBorder="1" applyAlignment="1" applyProtection="1">
      <alignment horizontal="center" vertical="center"/>
      <protection locked="0"/>
    </xf>
    <xf numFmtId="0" fontId="32" fillId="0" borderId="49" xfId="0" applyFont="1" applyFill="1" applyBorder="1" applyAlignment="1" applyProtection="1">
      <alignment horizontal="center" vertical="center"/>
      <protection locked="0"/>
    </xf>
    <xf numFmtId="0" fontId="31" fillId="0" borderId="77" xfId="0" applyFont="1" applyFill="1" applyBorder="1" applyAlignment="1" applyProtection="1">
      <alignment horizontal="center" vertical="center"/>
      <protection locked="0"/>
    </xf>
    <xf numFmtId="0" fontId="31" fillId="0" borderId="78" xfId="0" applyFont="1" applyFill="1" applyBorder="1" applyAlignment="1" applyProtection="1">
      <alignment horizontal="center" vertical="center"/>
      <protection locked="0"/>
    </xf>
    <xf numFmtId="165" fontId="31" fillId="32" borderId="3" xfId="0" applyNumberFormat="1" applyFont="1" applyFill="1" applyBorder="1" applyAlignment="1" applyProtection="1">
      <alignment horizontal="center" vertical="center"/>
    </xf>
    <xf numFmtId="0" fontId="31" fillId="4" borderId="3" xfId="0" applyFont="1" applyFill="1" applyBorder="1" applyAlignment="1" applyProtection="1">
      <alignment horizontal="center" vertical="center"/>
      <protection locked="0"/>
    </xf>
    <xf numFmtId="0" fontId="32" fillId="0" borderId="46" xfId="0" applyFont="1" applyFill="1" applyBorder="1" applyAlignment="1" applyProtection="1">
      <alignment horizontal="center" vertical="center"/>
      <protection locked="0"/>
    </xf>
    <xf numFmtId="0" fontId="32" fillId="0" borderId="77" xfId="0" applyFont="1" applyFill="1" applyBorder="1" applyAlignment="1" applyProtection="1">
      <alignment horizontal="center" vertical="center"/>
      <protection locked="0"/>
    </xf>
    <xf numFmtId="0" fontId="31" fillId="4" borderId="5" xfId="0" applyFont="1" applyFill="1" applyBorder="1" applyAlignment="1" applyProtection="1">
      <alignment horizontal="center" vertical="center"/>
      <protection locked="0"/>
    </xf>
    <xf numFmtId="0" fontId="31" fillId="2" borderId="49" xfId="0" applyFont="1" applyFill="1" applyBorder="1" applyAlignment="1" applyProtection="1">
      <alignment horizontal="center" vertical="center"/>
      <protection locked="0"/>
    </xf>
    <xf numFmtId="0" fontId="31" fillId="2" borderId="81" xfId="0" applyFont="1" applyFill="1" applyBorder="1" applyAlignment="1" applyProtection="1">
      <alignment horizontal="center" vertical="center"/>
      <protection locked="0"/>
    </xf>
    <xf numFmtId="0" fontId="31" fillId="30" borderId="89" xfId="0" applyFont="1" applyFill="1" applyBorder="1" applyAlignment="1">
      <alignment horizontal="center" vertical="center"/>
    </xf>
    <xf numFmtId="0" fontId="0" fillId="30" borderId="89" xfId="0" applyFill="1" applyBorder="1"/>
    <xf numFmtId="0" fontId="31" fillId="30" borderId="89" xfId="0" applyFont="1" applyFill="1" applyBorder="1" applyAlignment="1">
      <alignment horizontal="left" vertical="center"/>
    </xf>
    <xf numFmtId="166" fontId="33" fillId="4" borderId="88" xfId="1" applyNumberFormat="1" applyFont="1" applyFill="1" applyBorder="1" applyAlignment="1" applyProtection="1">
      <alignment horizontal="center" vertical="center"/>
      <protection locked="0"/>
    </xf>
    <xf numFmtId="49" fontId="33" fillId="4" borderId="88" xfId="1" applyNumberFormat="1" applyFont="1" applyFill="1" applyBorder="1" applyAlignment="1" applyProtection="1">
      <alignment horizontal="center" vertical="center"/>
      <protection locked="0"/>
    </xf>
    <xf numFmtId="0" fontId="31" fillId="0" borderId="91" xfId="0" applyFont="1" applyFill="1" applyBorder="1" applyAlignment="1" applyProtection="1">
      <alignment horizontal="center" vertical="center"/>
      <protection locked="0"/>
    </xf>
    <xf numFmtId="49" fontId="33" fillId="4" borderId="91" xfId="1" applyNumberFormat="1" applyFont="1" applyFill="1" applyBorder="1" applyAlignment="1" applyProtection="1">
      <alignment horizontal="center" vertical="center"/>
      <protection locked="0"/>
    </xf>
    <xf numFmtId="0" fontId="31" fillId="0" borderId="91" xfId="0" applyFont="1" applyFill="1" applyBorder="1" applyAlignment="1" applyProtection="1">
      <alignment horizontal="center" vertical="center"/>
    </xf>
    <xf numFmtId="166" fontId="33" fillId="4" borderId="90" xfId="1" applyNumberFormat="1" applyFont="1" applyFill="1" applyBorder="1" applyAlignment="1" applyProtection="1">
      <alignment horizontal="center" vertical="center"/>
      <protection locked="0"/>
    </xf>
    <xf numFmtId="49" fontId="33" fillId="4" borderId="90" xfId="1" applyNumberFormat="1" applyFont="1" applyFill="1" applyBorder="1" applyAlignment="1" applyProtection="1">
      <alignment horizontal="center" vertical="center"/>
      <protection locked="0"/>
    </xf>
    <xf numFmtId="0" fontId="31" fillId="32" borderId="3" xfId="0" applyFont="1" applyFill="1" applyBorder="1" applyAlignment="1" applyProtection="1">
      <alignment horizontal="center" vertical="center"/>
      <protection locked="0"/>
    </xf>
    <xf numFmtId="0" fontId="31" fillId="32" borderId="3" xfId="0" applyFont="1" applyFill="1" applyBorder="1" applyAlignment="1" applyProtection="1">
      <alignment horizontal="center" vertical="center"/>
    </xf>
    <xf numFmtId="0" fontId="31" fillId="0" borderId="94" xfId="0" applyFont="1" applyFill="1" applyBorder="1" applyAlignment="1" applyProtection="1">
      <alignment horizontal="center" vertical="center"/>
      <protection locked="0"/>
    </xf>
    <xf numFmtId="0" fontId="31" fillId="2" borderId="93" xfId="0" applyFont="1" applyFill="1" applyBorder="1" applyAlignment="1" applyProtection="1">
      <alignment horizontal="center" vertical="center"/>
      <protection locked="0"/>
    </xf>
    <xf numFmtId="166" fontId="33" fillId="4" borderId="93" xfId="1" applyNumberFormat="1" applyFont="1" applyFill="1" applyBorder="1" applyAlignment="1" applyProtection="1">
      <alignment horizontal="center" vertical="center"/>
      <protection locked="0"/>
    </xf>
    <xf numFmtId="49" fontId="33" fillId="4" borderId="93" xfId="1" applyNumberFormat="1" applyFont="1" applyFill="1" applyBorder="1" applyAlignment="1" applyProtection="1">
      <alignment horizontal="center" vertical="center"/>
      <protection locked="0"/>
    </xf>
    <xf numFmtId="0" fontId="31" fillId="0" borderId="93" xfId="0" applyFont="1" applyFill="1" applyBorder="1" applyAlignment="1" applyProtection="1">
      <alignment horizontal="center" vertical="center"/>
    </xf>
    <xf numFmtId="0" fontId="31" fillId="0" borderId="92" xfId="0" applyFont="1" applyFill="1" applyBorder="1" applyAlignment="1" applyProtection="1">
      <alignment horizontal="center" vertical="center"/>
    </xf>
    <xf numFmtId="0" fontId="31" fillId="0" borderId="96" xfId="0" applyFont="1" applyFill="1" applyBorder="1" applyAlignment="1" applyProtection="1">
      <alignment horizontal="center" vertical="center"/>
    </xf>
    <xf numFmtId="0" fontId="31" fillId="0" borderId="93" xfId="0" applyFont="1" applyFill="1" applyBorder="1" applyAlignment="1" applyProtection="1">
      <alignment horizontal="center" vertical="center"/>
      <protection locked="0"/>
    </xf>
    <xf numFmtId="0" fontId="33" fillId="0" borderId="5" xfId="1" applyNumberFormat="1" applyFont="1" applyFill="1" applyBorder="1" applyAlignment="1" applyProtection="1">
      <alignment horizontal="center" vertical="center"/>
      <protection locked="0"/>
    </xf>
    <xf numFmtId="0" fontId="31" fillId="0" borderId="95" xfId="0" applyFont="1" applyFill="1" applyBorder="1" applyAlignment="1" applyProtection="1">
      <alignment horizontal="center" vertical="center"/>
      <protection locked="0"/>
    </xf>
    <xf numFmtId="0" fontId="31" fillId="0" borderId="92" xfId="0" applyFont="1" applyFill="1" applyBorder="1" applyAlignment="1" applyProtection="1">
      <alignment horizontal="center" vertical="center"/>
      <protection locked="0"/>
    </xf>
    <xf numFmtId="166" fontId="33" fillId="4" borderId="92" xfId="1" applyNumberFormat="1" applyFont="1" applyFill="1" applyBorder="1" applyAlignment="1" applyProtection="1">
      <alignment horizontal="center" vertical="center"/>
      <protection locked="0"/>
    </xf>
    <xf numFmtId="49" fontId="33" fillId="4" borderId="92" xfId="1" applyNumberFormat="1" applyFont="1" applyFill="1" applyBorder="1" applyAlignment="1" applyProtection="1">
      <alignment horizontal="center" vertical="center"/>
      <protection locked="0"/>
    </xf>
    <xf numFmtId="165" fontId="31" fillId="0" borderId="92" xfId="0" applyNumberFormat="1" applyFont="1" applyFill="1" applyBorder="1" applyAlignment="1" applyProtection="1">
      <alignment horizontal="center" vertical="center"/>
    </xf>
    <xf numFmtId="0" fontId="31" fillId="0" borderId="97" xfId="0" applyFont="1" applyFill="1" applyBorder="1" applyAlignment="1" applyProtection="1">
      <alignment horizontal="center" vertical="center"/>
    </xf>
    <xf numFmtId="0" fontId="32" fillId="0" borderId="92" xfId="0" applyFont="1" applyFill="1" applyBorder="1" applyAlignment="1" applyProtection="1">
      <alignment horizontal="center" vertical="center"/>
      <protection locked="0"/>
    </xf>
    <xf numFmtId="0" fontId="30" fillId="27" borderId="28" xfId="0" applyFont="1" applyFill="1" applyBorder="1" applyAlignment="1" applyProtection="1">
      <alignment horizontal="center" vertical="center" wrapText="1"/>
      <protection locked="0"/>
    </xf>
    <xf numFmtId="0" fontId="29" fillId="3" borderId="26" xfId="10" applyFont="1" applyFill="1" applyBorder="1" applyAlignment="1" applyProtection="1">
      <alignment horizontal="center" vertical="center"/>
      <protection locked="0"/>
    </xf>
    <xf numFmtId="49" fontId="36" fillId="0" borderId="46" xfId="11" applyNumberFormat="1" applyFont="1" applyFill="1" applyBorder="1" applyAlignment="1" applyProtection="1">
      <alignment horizontal="left" vertical="center"/>
      <protection locked="0"/>
    </xf>
    <xf numFmtId="164" fontId="36" fillId="2" borderId="77" xfId="11" applyNumberFormat="1" applyFont="1" applyFill="1" applyBorder="1" applyAlignment="1" applyProtection="1">
      <alignment horizontal="center" vertical="center"/>
      <protection locked="0"/>
    </xf>
    <xf numFmtId="0" fontId="36" fillId="0" borderId="77" xfId="11" applyFont="1" applyFill="1" applyBorder="1" applyAlignment="1" applyProtection="1">
      <alignment horizontal="center" vertical="center"/>
      <protection locked="0"/>
    </xf>
    <xf numFmtId="49" fontId="36" fillId="0" borderId="74" xfId="11" applyNumberFormat="1" applyFont="1" applyFill="1" applyBorder="1" applyAlignment="1" applyProtection="1">
      <alignment horizontal="left" vertical="center"/>
      <protection locked="0"/>
    </xf>
    <xf numFmtId="164" fontId="36" fillId="33" borderId="77" xfId="11" applyNumberFormat="1" applyFont="1" applyFill="1" applyBorder="1" applyAlignment="1" applyProtection="1">
      <alignment horizontal="center" vertical="center"/>
      <protection locked="0"/>
    </xf>
    <xf numFmtId="14" fontId="36" fillId="0" borderId="46" xfId="11" applyNumberFormat="1" applyFont="1" applyFill="1" applyBorder="1" applyAlignment="1" applyProtection="1">
      <alignment horizontal="left" vertical="center"/>
      <protection locked="0"/>
    </xf>
    <xf numFmtId="164" fontId="36" fillId="0" borderId="77" xfId="11" applyNumberFormat="1" applyFont="1" applyFill="1" applyBorder="1" applyAlignment="1" applyProtection="1">
      <alignment horizontal="center" vertical="center"/>
      <protection locked="0"/>
    </xf>
    <xf numFmtId="49" fontId="36" fillId="0" borderId="46" xfId="11" applyNumberFormat="1" applyFont="1" applyFill="1" applyBorder="1" applyAlignment="1" applyProtection="1">
      <alignment horizontal="center" vertical="center"/>
      <protection locked="0"/>
    </xf>
    <xf numFmtId="14" fontId="36" fillId="0" borderId="46" xfId="11" applyNumberFormat="1" applyFont="1" applyFill="1" applyBorder="1" applyAlignment="1" applyProtection="1">
      <alignment horizontal="center" vertical="center"/>
      <protection locked="0"/>
    </xf>
    <xf numFmtId="14" fontId="36" fillId="0" borderId="66" xfId="11" applyNumberFormat="1" applyFont="1" applyFill="1" applyBorder="1" applyAlignment="1" applyProtection="1">
      <alignment horizontal="left" vertical="center"/>
      <protection locked="0"/>
    </xf>
    <xf numFmtId="14" fontId="29" fillId="0" borderId="49" xfId="11" applyNumberFormat="1" applyFont="1" applyFill="1" applyBorder="1" applyAlignment="1" applyProtection="1">
      <alignment horizontal="left" vertical="center"/>
      <protection locked="0"/>
    </xf>
    <xf numFmtId="0" fontId="36" fillId="0" borderId="1" xfId="10" applyFont="1" applyFill="1" applyAlignment="1" applyProtection="1">
      <alignment vertical="center"/>
      <protection locked="0"/>
    </xf>
    <xf numFmtId="0" fontId="36" fillId="0" borderId="0" xfId="10" applyFont="1" applyFill="1" applyBorder="1" applyAlignment="1" applyProtection="1">
      <alignment vertical="center"/>
      <protection locked="0"/>
    </xf>
    <xf numFmtId="0" fontId="29" fillId="27" borderId="4" xfId="0" applyFont="1" applyFill="1" applyBorder="1" applyAlignment="1" applyProtection="1">
      <alignment horizontal="right" vertical="center"/>
      <protection locked="0"/>
    </xf>
    <xf numFmtId="167" fontId="33" fillId="28" borderId="5" xfId="11" applyNumberFormat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Alignment="1" applyProtection="1">
      <alignment vertical="center"/>
    </xf>
    <xf numFmtId="165" fontId="31" fillId="0" borderId="0" xfId="0" applyNumberFormat="1" applyFont="1" applyFill="1" applyAlignment="1" applyProtection="1">
      <alignment vertical="center"/>
    </xf>
    <xf numFmtId="0" fontId="29" fillId="27" borderId="23" xfId="0" applyFont="1" applyFill="1" applyBorder="1" applyAlignment="1" applyProtection="1">
      <alignment horizontal="right" vertical="center"/>
      <protection locked="0"/>
    </xf>
    <xf numFmtId="0" fontId="31" fillId="28" borderId="3" xfId="11" applyNumberFormat="1" applyFont="1" applyFill="1" applyBorder="1" applyAlignment="1" applyProtection="1">
      <alignment horizontal="center" vertical="center"/>
      <protection locked="0"/>
    </xf>
    <xf numFmtId="164" fontId="31" fillId="4" borderId="77" xfId="0" applyNumberFormat="1" applyFont="1" applyFill="1" applyBorder="1" applyAlignment="1" applyProtection="1">
      <alignment horizontal="center" vertical="center"/>
      <protection locked="0"/>
    </xf>
    <xf numFmtId="0" fontId="29" fillId="27" borderId="47" xfId="11" applyFont="1" applyFill="1" applyBorder="1" applyAlignment="1" applyProtection="1">
      <alignment horizontal="right" vertical="center"/>
      <protection locked="0"/>
    </xf>
    <xf numFmtId="0" fontId="29" fillId="27" borderId="75" xfId="11" applyFont="1" applyFill="1" applyBorder="1" applyAlignment="1" applyProtection="1">
      <alignment horizontal="right" vertical="center"/>
      <protection locked="0"/>
    </xf>
    <xf numFmtId="0" fontId="29" fillId="27" borderId="47" xfId="11" applyFont="1" applyFill="1" applyBorder="1" applyAlignment="1" applyProtection="1">
      <alignment horizontal="right" vertical="center" wrapText="1"/>
      <protection locked="0"/>
    </xf>
    <xf numFmtId="16" fontId="31" fillId="28" borderId="3" xfId="11" applyNumberFormat="1" applyFont="1" applyFill="1" applyBorder="1" applyAlignment="1" applyProtection="1">
      <alignment horizontal="center" vertical="center"/>
      <protection locked="0"/>
    </xf>
    <xf numFmtId="0" fontId="31" fillId="32" borderId="91" xfId="0" applyFont="1" applyFill="1" applyBorder="1" applyAlignment="1" applyProtection="1">
      <alignment vertical="center"/>
    </xf>
    <xf numFmtId="0" fontId="31" fillId="0" borderId="91" xfId="0" applyFont="1" applyFill="1" applyBorder="1" applyAlignment="1" applyProtection="1">
      <alignment vertical="center"/>
    </xf>
    <xf numFmtId="0" fontId="29" fillId="27" borderId="67" xfId="11" applyFont="1" applyFill="1" applyBorder="1" applyAlignment="1" applyProtection="1">
      <alignment horizontal="right" vertical="center" wrapText="1"/>
      <protection locked="0"/>
    </xf>
    <xf numFmtId="0" fontId="29" fillId="27" borderId="53" xfId="11" applyFont="1" applyFill="1" applyBorder="1" applyAlignment="1" applyProtection="1">
      <alignment horizontal="right" vertical="center" wrapText="1"/>
      <protection locked="0"/>
    </xf>
    <xf numFmtId="14" fontId="29" fillId="0" borderId="52" xfId="11" applyNumberFormat="1" applyFont="1" applyFill="1" applyBorder="1" applyAlignment="1" applyProtection="1">
      <alignment horizontal="center" vertical="center"/>
      <protection locked="0"/>
    </xf>
    <xf numFmtId="0" fontId="29" fillId="27" borderId="47" xfId="0" applyFont="1" applyFill="1" applyBorder="1" applyAlignment="1" applyProtection="1">
      <alignment horizontal="right" vertical="center"/>
      <protection locked="0"/>
    </xf>
    <xf numFmtId="0" fontId="29" fillId="27" borderId="50" xfId="11" applyFont="1" applyFill="1" applyBorder="1" applyAlignment="1" applyProtection="1">
      <alignment horizontal="right" vertical="center" wrapText="1"/>
      <protection locked="0"/>
    </xf>
    <xf numFmtId="0" fontId="29" fillId="3" borderId="27" xfId="10" applyFont="1" applyFill="1" applyBorder="1" applyAlignment="1" applyProtection="1">
      <alignment horizontal="center" vertical="center"/>
      <protection locked="0"/>
    </xf>
    <xf numFmtId="0" fontId="29" fillId="3" borderId="28" xfId="10" applyFont="1" applyFill="1" applyBorder="1" applyAlignment="1" applyProtection="1">
      <alignment horizontal="center" vertical="center"/>
      <protection locked="0"/>
    </xf>
    <xf numFmtId="164" fontId="29" fillId="3" borderId="28" xfId="10" applyNumberFormat="1" applyFont="1" applyFill="1" applyBorder="1" applyAlignment="1" applyProtection="1">
      <alignment horizontal="center" vertical="center"/>
      <protection locked="0"/>
    </xf>
    <xf numFmtId="0" fontId="29" fillId="3" borderId="20" xfId="10" applyFont="1" applyFill="1" applyBorder="1" applyAlignment="1" applyProtection="1">
      <alignment horizontal="center" vertical="center"/>
      <protection locked="0"/>
    </xf>
    <xf numFmtId="0" fontId="30" fillId="27" borderId="27" xfId="0" applyFont="1" applyFill="1" applyBorder="1" applyAlignment="1" applyProtection="1">
      <alignment horizontal="center" vertical="center" wrapText="1"/>
      <protection locked="0"/>
    </xf>
    <xf numFmtId="164" fontId="30" fillId="27" borderId="28" xfId="0" applyNumberFormat="1" applyFont="1" applyFill="1" applyBorder="1" applyAlignment="1" applyProtection="1">
      <alignment horizontal="center" vertical="center" wrapText="1"/>
      <protection locked="0"/>
    </xf>
    <xf numFmtId="0" fontId="30" fillId="27" borderId="28" xfId="0" applyFont="1" applyFill="1" applyBorder="1" applyAlignment="1" applyProtection="1">
      <alignment horizontal="center" vertical="center" wrapText="1"/>
    </xf>
    <xf numFmtId="165" fontId="30" fillId="27" borderId="28" xfId="0" applyNumberFormat="1" applyFont="1" applyFill="1" applyBorder="1" applyAlignment="1" applyProtection="1">
      <alignment horizontal="center" vertical="center" wrapText="1"/>
    </xf>
    <xf numFmtId="0" fontId="30" fillId="27" borderId="29" xfId="0" applyFont="1" applyFill="1" applyBorder="1" applyAlignment="1" applyProtection="1">
      <alignment horizontal="center" vertical="center" wrapText="1"/>
    </xf>
    <xf numFmtId="0" fontId="31" fillId="0" borderId="18" xfId="0" applyFont="1" applyFill="1" applyBorder="1" applyAlignment="1" applyProtection="1">
      <alignment horizontal="center" vertical="center"/>
      <protection locked="0"/>
    </xf>
    <xf numFmtId="0" fontId="37" fillId="0" borderId="19" xfId="1" applyFont="1" applyFill="1" applyBorder="1" applyAlignment="1" applyProtection="1">
      <alignment horizontal="center" vertical="center"/>
      <protection locked="0"/>
    </xf>
    <xf numFmtId="0" fontId="37" fillId="0" borderId="20" xfId="1" applyFont="1" applyFill="1" applyBorder="1" applyAlignment="1" applyProtection="1">
      <alignment horizontal="center" vertical="center"/>
      <protection locked="0"/>
    </xf>
    <xf numFmtId="49" fontId="37" fillId="0" borderId="20" xfId="1" applyNumberFormat="1" applyFont="1" applyFill="1" applyBorder="1" applyAlignment="1" applyProtection="1">
      <alignment horizontal="center" vertical="center"/>
      <protection locked="0"/>
    </xf>
    <xf numFmtId="0" fontId="37" fillId="0" borderId="20" xfId="1" applyFont="1" applyFill="1" applyBorder="1" applyAlignment="1" applyProtection="1">
      <alignment horizontal="left" vertical="center"/>
      <protection locked="0"/>
    </xf>
    <xf numFmtId="0" fontId="29" fillId="0" borderId="36" xfId="1" applyFont="1" applyFill="1" applyBorder="1" applyAlignment="1" applyProtection="1">
      <alignment horizontal="center" vertical="center"/>
      <protection locked="0"/>
    </xf>
    <xf numFmtId="0" fontId="33" fillId="0" borderId="23" xfId="1" applyFont="1" applyFill="1" applyBorder="1" applyAlignment="1" applyProtection="1">
      <alignment horizontal="left" vertical="center"/>
      <protection locked="0"/>
    </xf>
    <xf numFmtId="0" fontId="33" fillId="0" borderId="3" xfId="1" applyFont="1" applyFill="1" applyBorder="1" applyAlignment="1" applyProtection="1">
      <alignment horizontal="left" vertical="center"/>
      <protection locked="0"/>
    </xf>
    <xf numFmtId="0" fontId="33" fillId="0" borderId="3" xfId="1" applyFont="1" applyFill="1" applyBorder="1" applyAlignment="1" applyProtection="1">
      <alignment vertical="center"/>
      <protection locked="0"/>
    </xf>
    <xf numFmtId="0" fontId="33" fillId="0" borderId="24" xfId="1" applyFont="1" applyFill="1" applyBorder="1" applyAlignment="1" applyProtection="1">
      <alignment horizontal="center" vertical="center"/>
      <protection locked="0"/>
    </xf>
    <xf numFmtId="0" fontId="33" fillId="0" borderId="31" xfId="1" applyFont="1" applyFill="1" applyBorder="1" applyAlignment="1" applyProtection="1">
      <alignment horizontal="left" vertical="center"/>
      <protection locked="0"/>
    </xf>
    <xf numFmtId="0" fontId="33" fillId="0" borderId="30" xfId="1" applyFont="1" applyFill="1" applyBorder="1" applyAlignment="1" applyProtection="1">
      <alignment horizontal="left" vertical="center"/>
      <protection locked="0"/>
    </xf>
    <xf numFmtId="0" fontId="33" fillId="0" borderId="30" xfId="1" applyFont="1" applyFill="1" applyBorder="1" applyAlignment="1" applyProtection="1">
      <alignment vertical="center"/>
      <protection locked="0"/>
    </xf>
    <xf numFmtId="0" fontId="33" fillId="0" borderId="32" xfId="1" applyFont="1" applyFill="1" applyBorder="1" applyAlignment="1" applyProtection="1">
      <alignment horizontal="center" vertical="center"/>
      <protection locked="0"/>
    </xf>
    <xf numFmtId="0" fontId="33" fillId="0" borderId="78" xfId="1" applyFont="1" applyFill="1" applyBorder="1" applyAlignment="1" applyProtection="1">
      <alignment horizontal="left" vertical="center"/>
      <protection locked="0"/>
    </xf>
    <xf numFmtId="0" fontId="33" fillId="0" borderId="77" xfId="1" applyFont="1" applyFill="1" applyBorder="1" applyAlignment="1" applyProtection="1">
      <alignment horizontal="left" vertical="center"/>
      <protection locked="0"/>
    </xf>
    <xf numFmtId="0" fontId="33" fillId="0" borderId="77" xfId="1" applyFont="1" applyFill="1" applyBorder="1" applyAlignment="1" applyProtection="1">
      <alignment vertical="center"/>
      <protection locked="0"/>
    </xf>
    <xf numFmtId="0" fontId="33" fillId="0" borderId="79" xfId="1" applyFont="1" applyFill="1" applyBorder="1" applyAlignment="1" applyProtection="1">
      <alignment horizontal="center" vertical="center"/>
      <protection locked="0"/>
    </xf>
    <xf numFmtId="0" fontId="33" fillId="0" borderId="33" xfId="1" applyFont="1" applyFill="1" applyBorder="1" applyAlignment="1" applyProtection="1">
      <alignment horizontal="left" vertical="center"/>
      <protection locked="0"/>
    </xf>
    <xf numFmtId="0" fontId="33" fillId="0" borderId="34" xfId="1" applyFont="1" applyFill="1" applyBorder="1" applyAlignment="1" applyProtection="1">
      <alignment horizontal="left" vertical="center"/>
      <protection locked="0"/>
    </xf>
    <xf numFmtId="0" fontId="33" fillId="0" borderId="34" xfId="1" applyFont="1" applyFill="1" applyBorder="1" applyAlignment="1" applyProtection="1">
      <alignment vertical="center"/>
      <protection locked="0"/>
    </xf>
    <xf numFmtId="0" fontId="33" fillId="0" borderId="35" xfId="1" applyFont="1" applyFill="1" applyBorder="1" applyAlignment="1" applyProtection="1">
      <alignment horizontal="center" vertical="center"/>
      <protection locked="0"/>
    </xf>
    <xf numFmtId="0" fontId="33" fillId="0" borderId="0" xfId="1" applyFont="1" applyFill="1" applyBorder="1" applyAlignment="1" applyProtection="1">
      <alignment horizontal="left" vertical="center"/>
      <protection locked="0"/>
    </xf>
    <xf numFmtId="0" fontId="33" fillId="0" borderId="0" xfId="1" applyFont="1" applyFill="1" applyBorder="1" applyAlignment="1" applyProtection="1">
      <alignment vertical="center"/>
      <protection locked="0"/>
    </xf>
    <xf numFmtId="0" fontId="33" fillId="0" borderId="0" xfId="1" applyFont="1" applyFill="1" applyBorder="1" applyAlignment="1" applyProtection="1">
      <alignment horizontal="center" vertical="center"/>
      <protection locked="0"/>
    </xf>
    <xf numFmtId="0" fontId="29" fillId="31" borderId="25" xfId="10" applyFont="1" applyFill="1" applyBorder="1" applyAlignment="1" applyProtection="1">
      <alignment vertical="center"/>
      <protection locked="0"/>
    </xf>
    <xf numFmtId="0" fontId="29" fillId="31" borderId="26" xfId="10" applyFont="1" applyFill="1" applyBorder="1" applyAlignment="1" applyProtection="1">
      <alignment vertical="center"/>
      <protection locked="0"/>
    </xf>
    <xf numFmtId="49" fontId="29" fillId="31" borderId="26" xfId="10" applyNumberFormat="1" applyFont="1" applyFill="1" applyBorder="1" applyAlignment="1" applyProtection="1">
      <alignment vertical="center"/>
      <protection locked="0"/>
    </xf>
    <xf numFmtId="0" fontId="29" fillId="31" borderId="26" xfId="10" applyFont="1" applyFill="1" applyBorder="1" applyAlignment="1" applyProtection="1">
      <alignment vertical="center"/>
    </xf>
    <xf numFmtId="0" fontId="29" fillId="31" borderId="22" xfId="10" applyFont="1" applyFill="1" applyBorder="1" applyAlignment="1" applyProtection="1">
      <alignment vertical="center"/>
    </xf>
    <xf numFmtId="0" fontId="31" fillId="0" borderId="0" xfId="0" applyFont="1" applyFill="1" applyBorder="1" applyAlignment="1" applyProtection="1">
      <alignment vertical="center"/>
      <protection locked="0"/>
    </xf>
    <xf numFmtId="0" fontId="31" fillId="0" borderId="84" xfId="0" applyFont="1" applyFill="1" applyBorder="1" applyAlignment="1" applyProtection="1">
      <alignment vertical="center"/>
      <protection locked="0"/>
    </xf>
    <xf numFmtId="0" fontId="31" fillId="32" borderId="0" xfId="0" applyFont="1" applyFill="1" applyAlignment="1" applyProtection="1">
      <alignment vertical="center"/>
      <protection locked="0"/>
    </xf>
    <xf numFmtId="0" fontId="31" fillId="0" borderId="0" xfId="0" applyFont="1" applyFill="1" applyAlignment="1" applyProtection="1">
      <alignment horizontal="center" vertical="center"/>
      <protection locked="0"/>
    </xf>
    <xf numFmtId="164" fontId="31" fillId="0" borderId="0" xfId="0" applyNumberFormat="1" applyFont="1" applyFill="1" applyAlignment="1" applyProtection="1">
      <alignment horizontal="center" vertical="center"/>
      <protection locked="0"/>
    </xf>
    <xf numFmtId="0" fontId="1" fillId="30" borderId="98" xfId="0" applyFont="1" applyFill="1" applyBorder="1"/>
    <xf numFmtId="0" fontId="1" fillId="30" borderId="99" xfId="0" applyFont="1" applyFill="1" applyBorder="1"/>
    <xf numFmtId="0" fontId="1" fillId="29" borderId="98" xfId="0" applyFont="1" applyFill="1" applyBorder="1"/>
    <xf numFmtId="0" fontId="1" fillId="29" borderId="99" xfId="0" applyFont="1" applyFill="1" applyBorder="1"/>
    <xf numFmtId="49" fontId="0" fillId="29" borderId="0" xfId="0" applyNumberFormat="1" applyFill="1"/>
    <xf numFmtId="0" fontId="0" fillId="29" borderId="0" xfId="0" applyFill="1"/>
    <xf numFmtId="165" fontId="31" fillId="0" borderId="93" xfId="0" applyNumberFormat="1" applyFont="1" applyFill="1" applyBorder="1" applyAlignment="1" applyProtection="1">
      <alignment horizontal="center" vertical="center"/>
    </xf>
    <xf numFmtId="0" fontId="31" fillId="32" borderId="91" xfId="0" applyFont="1" applyFill="1" applyBorder="1" applyAlignment="1" applyProtection="1">
      <alignment horizontal="center" vertical="center"/>
      <protection locked="0"/>
    </xf>
    <xf numFmtId="0" fontId="31" fillId="32" borderId="92" xfId="0" applyFont="1" applyFill="1" applyBorder="1" applyAlignment="1" applyProtection="1">
      <alignment horizontal="center" vertical="center"/>
      <protection locked="0"/>
    </xf>
    <xf numFmtId="0" fontId="31" fillId="32" borderId="91" xfId="0" applyFont="1" applyFill="1" applyBorder="1" applyAlignment="1" applyProtection="1">
      <alignment horizontal="center" vertical="center"/>
    </xf>
    <xf numFmtId="0" fontId="31" fillId="32" borderId="92" xfId="0" applyFont="1" applyFill="1" applyBorder="1" applyAlignment="1" applyProtection="1">
      <alignment horizontal="center" vertical="center"/>
    </xf>
    <xf numFmtId="165" fontId="31" fillId="32" borderId="91" xfId="0" applyNumberFormat="1" applyFont="1" applyFill="1" applyBorder="1" applyAlignment="1" applyProtection="1">
      <alignment horizontal="center" vertical="center"/>
    </xf>
    <xf numFmtId="165" fontId="31" fillId="32" borderId="92" xfId="0" applyNumberFormat="1" applyFont="1" applyFill="1" applyBorder="1" applyAlignment="1" applyProtection="1">
      <alignment horizontal="center" vertical="center"/>
    </xf>
    <xf numFmtId="0" fontId="31" fillId="32" borderId="103" xfId="0" applyFont="1" applyFill="1" applyBorder="1" applyAlignment="1" applyProtection="1">
      <alignment horizontal="center" vertical="center"/>
      <protection locked="0"/>
    </xf>
    <xf numFmtId="0" fontId="33" fillId="32" borderId="91" xfId="1" applyFont="1" applyFill="1" applyBorder="1" applyAlignment="1" applyProtection="1">
      <alignment horizontal="center" vertical="center"/>
      <protection locked="0"/>
    </xf>
    <xf numFmtId="49" fontId="33" fillId="32" borderId="91" xfId="1" applyNumberFormat="1" applyFont="1" applyFill="1" applyBorder="1" applyAlignment="1" applyProtection="1">
      <alignment horizontal="center" vertical="center"/>
      <protection locked="0"/>
    </xf>
    <xf numFmtId="0" fontId="31" fillId="32" borderId="104" xfId="0" applyFont="1" applyFill="1" applyBorder="1" applyAlignment="1" applyProtection="1">
      <alignment horizontal="center" vertical="center"/>
    </xf>
    <xf numFmtId="0" fontId="31" fillId="32" borderId="100" xfId="0" applyFont="1" applyFill="1" applyBorder="1" applyAlignment="1" applyProtection="1">
      <alignment horizontal="center" vertical="center"/>
      <protection locked="0"/>
    </xf>
    <xf numFmtId="0" fontId="31" fillId="32" borderId="93" xfId="0" applyFont="1" applyFill="1" applyBorder="1" applyAlignment="1" applyProtection="1">
      <alignment horizontal="center" vertical="center"/>
      <protection locked="0"/>
    </xf>
    <xf numFmtId="0" fontId="33" fillId="32" borderId="93" xfId="1" applyFont="1" applyFill="1" applyBorder="1" applyAlignment="1" applyProtection="1">
      <alignment horizontal="center" vertical="center"/>
      <protection locked="0"/>
    </xf>
    <xf numFmtId="49" fontId="33" fillId="32" borderId="93" xfId="1" applyNumberFormat="1" applyFont="1" applyFill="1" applyBorder="1" applyAlignment="1" applyProtection="1">
      <alignment horizontal="center" vertical="center"/>
      <protection locked="0"/>
    </xf>
    <xf numFmtId="0" fontId="32" fillId="32" borderId="93" xfId="0" applyFont="1" applyFill="1" applyBorder="1" applyAlignment="1" applyProtection="1">
      <alignment horizontal="center" vertical="center"/>
      <protection locked="0"/>
    </xf>
    <xf numFmtId="0" fontId="31" fillId="32" borderId="93" xfId="0" applyFont="1" applyFill="1" applyBorder="1" applyAlignment="1" applyProtection="1">
      <alignment horizontal="center" vertical="center"/>
    </xf>
    <xf numFmtId="165" fontId="31" fillId="32" borderId="93" xfId="0" applyNumberFormat="1" applyFont="1" applyFill="1" applyBorder="1" applyAlignment="1" applyProtection="1">
      <alignment horizontal="center" vertical="center"/>
    </xf>
    <xf numFmtId="0" fontId="31" fillId="32" borderId="72" xfId="0" applyFont="1" applyFill="1" applyBorder="1" applyAlignment="1" applyProtection="1">
      <alignment horizontal="center" vertical="center"/>
    </xf>
    <xf numFmtId="0" fontId="31" fillId="32" borderId="102" xfId="0" applyFont="1" applyFill="1" applyBorder="1" applyAlignment="1" applyProtection="1">
      <alignment horizontal="center" vertical="center"/>
      <protection locked="0"/>
    </xf>
    <xf numFmtId="0" fontId="33" fillId="32" borderId="3" xfId="1" applyFont="1" applyFill="1" applyBorder="1" applyAlignment="1" applyProtection="1">
      <alignment horizontal="center" vertical="center"/>
      <protection locked="0"/>
    </xf>
    <xf numFmtId="49" fontId="33" fillId="32" borderId="3" xfId="1" applyNumberFormat="1" applyFont="1" applyFill="1" applyBorder="1" applyAlignment="1" applyProtection="1">
      <alignment horizontal="center" vertical="center"/>
      <protection locked="0"/>
    </xf>
    <xf numFmtId="0" fontId="31" fillId="32" borderId="101" xfId="0" applyFont="1" applyFill="1" applyBorder="1" applyAlignment="1" applyProtection="1">
      <alignment horizontal="center" vertical="center"/>
    </xf>
    <xf numFmtId="0" fontId="31" fillId="32" borderId="105" xfId="0" applyFont="1" applyFill="1" applyBorder="1" applyAlignment="1" applyProtection="1">
      <alignment horizontal="center" vertical="center"/>
      <protection locked="0"/>
    </xf>
    <xf numFmtId="0" fontId="33" fillId="32" borderId="92" xfId="1" applyFont="1" applyFill="1" applyBorder="1" applyAlignment="1" applyProtection="1">
      <alignment horizontal="center" vertical="center"/>
      <protection locked="0"/>
    </xf>
    <xf numFmtId="49" fontId="33" fillId="32" borderId="92" xfId="1" applyNumberFormat="1" applyFont="1" applyFill="1" applyBorder="1" applyAlignment="1" applyProtection="1">
      <alignment horizontal="center" vertical="center"/>
      <protection locked="0"/>
    </xf>
    <xf numFmtId="0" fontId="32" fillId="32" borderId="92" xfId="0" applyFont="1" applyFill="1" applyBorder="1" applyAlignment="1" applyProtection="1">
      <alignment horizontal="center" vertical="center"/>
      <protection locked="0"/>
    </xf>
    <xf numFmtId="0" fontId="31" fillId="32" borderId="106" xfId="0" applyFont="1" applyFill="1" applyBorder="1" applyAlignment="1" applyProtection="1">
      <alignment horizontal="center" vertical="center"/>
    </xf>
    <xf numFmtId="165" fontId="29" fillId="3" borderId="28" xfId="10" applyNumberFormat="1" applyFont="1" applyFill="1" applyBorder="1" applyAlignment="1" applyProtection="1">
      <alignment horizontal="center" vertical="center"/>
      <protection locked="0"/>
    </xf>
    <xf numFmtId="0" fontId="29" fillId="3" borderId="29" xfId="10" applyFont="1" applyFill="1" applyBorder="1" applyAlignment="1" applyProtection="1">
      <alignment horizontal="center" vertical="center"/>
      <protection locked="0"/>
    </xf>
    <xf numFmtId="0" fontId="29" fillId="3" borderId="73" xfId="10" applyFont="1" applyFill="1" applyBorder="1" applyAlignment="1" applyProtection="1">
      <alignment horizontal="center" vertical="center"/>
      <protection locked="0"/>
    </xf>
    <xf numFmtId="166" fontId="33" fillId="4" borderId="91" xfId="1" applyNumberFormat="1" applyFont="1" applyFill="1" applyBorder="1" applyAlignment="1" applyProtection="1">
      <alignment horizontal="center" vertical="center"/>
      <protection locked="0"/>
    </xf>
    <xf numFmtId="0" fontId="31" fillId="2" borderId="91" xfId="0" applyFont="1" applyFill="1" applyBorder="1" applyAlignment="1" applyProtection="1">
      <alignment horizontal="center" vertical="center"/>
      <protection locked="0"/>
    </xf>
    <xf numFmtId="164" fontId="31" fillId="0" borderId="87" xfId="0" applyNumberFormat="1" applyFont="1" applyFill="1" applyBorder="1" applyAlignment="1" applyProtection="1">
      <alignment vertical="center"/>
      <protection locked="0"/>
    </xf>
    <xf numFmtId="164" fontId="31" fillId="0" borderId="0" xfId="0" applyNumberFormat="1" applyFont="1" applyFill="1" applyBorder="1" applyAlignment="1" applyProtection="1">
      <alignment vertical="center"/>
      <protection locked="0"/>
    </xf>
    <xf numFmtId="0" fontId="39" fillId="2" borderId="91" xfId="0" applyFont="1" applyFill="1" applyBorder="1" applyAlignment="1" applyProtection="1">
      <alignment vertical="center"/>
      <protection locked="0"/>
    </xf>
    <xf numFmtId="0" fontId="40" fillId="2" borderId="91" xfId="0" applyFont="1" applyFill="1" applyBorder="1" applyAlignment="1" applyProtection="1">
      <alignment vertical="center"/>
      <protection locked="0"/>
    </xf>
    <xf numFmtId="0" fontId="29" fillId="3" borderId="108" xfId="10" applyFont="1" applyFill="1" applyBorder="1" applyAlignment="1" applyProtection="1">
      <alignment horizontal="center" vertical="center"/>
      <protection locked="0"/>
    </xf>
    <xf numFmtId="0" fontId="29" fillId="3" borderId="84" xfId="10" applyFont="1" applyFill="1" applyBorder="1" applyAlignment="1" applyProtection="1">
      <alignment horizontal="center" vertical="center" wrapText="1"/>
      <protection locked="0"/>
    </xf>
    <xf numFmtId="0" fontId="29" fillId="31" borderId="84" xfId="10" applyFont="1" applyFill="1" applyBorder="1" applyAlignment="1" applyProtection="1">
      <alignment horizontal="center" vertical="center"/>
      <protection locked="0"/>
    </xf>
    <xf numFmtId="0" fontId="29" fillId="31" borderId="84" xfId="10" applyFont="1" applyFill="1" applyBorder="1" applyAlignment="1" applyProtection="1">
      <alignment horizontal="center" vertical="center" wrapText="1"/>
    </xf>
    <xf numFmtId="0" fontId="31" fillId="2" borderId="98" xfId="0" applyFont="1" applyFill="1" applyBorder="1" applyAlignment="1" applyProtection="1">
      <alignment horizontal="center" vertical="center"/>
      <protection locked="0"/>
    </xf>
    <xf numFmtId="0" fontId="31" fillId="0" borderId="99" xfId="0" applyFont="1" applyFill="1" applyBorder="1" applyAlignment="1" applyProtection="1">
      <alignment horizontal="center" vertical="center"/>
    </xf>
    <xf numFmtId="0" fontId="31" fillId="0" borderId="26" xfId="0" applyFont="1" applyFill="1" applyBorder="1" applyAlignment="1" applyProtection="1">
      <alignment vertical="center"/>
      <protection locked="0"/>
    </xf>
    <xf numFmtId="0" fontId="31" fillId="0" borderId="102" xfId="0" applyFont="1" applyFill="1" applyBorder="1" applyAlignment="1" applyProtection="1">
      <alignment horizontal="center" vertical="center"/>
      <protection locked="0"/>
    </xf>
    <xf numFmtId="0" fontId="33" fillId="0" borderId="3" xfId="1" applyFont="1" applyFill="1" applyBorder="1" applyAlignment="1" applyProtection="1">
      <alignment horizontal="center" vertical="center"/>
      <protection locked="0"/>
    </xf>
    <xf numFmtId="49" fontId="33" fillId="0" borderId="3" xfId="1" applyNumberFormat="1" applyFont="1" applyFill="1" applyBorder="1" applyAlignment="1" applyProtection="1">
      <alignment horizontal="center" vertical="center"/>
      <protection locked="0"/>
    </xf>
    <xf numFmtId="0" fontId="31" fillId="0" borderId="101" xfId="0" applyFont="1" applyFill="1" applyBorder="1" applyAlignment="1" applyProtection="1">
      <alignment horizontal="center" vertical="center"/>
    </xf>
    <xf numFmtId="0" fontId="31" fillId="0" borderId="103" xfId="0" applyFont="1" applyFill="1" applyBorder="1" applyAlignment="1" applyProtection="1">
      <alignment horizontal="center" vertical="center"/>
      <protection locked="0"/>
    </xf>
    <xf numFmtId="0" fontId="33" fillId="0" borderId="91" xfId="1" applyFont="1" applyFill="1" applyBorder="1" applyAlignment="1" applyProtection="1">
      <alignment horizontal="center" vertical="center"/>
      <protection locked="0"/>
    </xf>
    <xf numFmtId="49" fontId="33" fillId="0" borderId="91" xfId="1" applyNumberFormat="1" applyFont="1" applyFill="1" applyBorder="1" applyAlignment="1" applyProtection="1">
      <alignment horizontal="center" vertical="center"/>
      <protection locked="0"/>
    </xf>
    <xf numFmtId="165" fontId="31" fillId="0" borderId="91" xfId="0" applyNumberFormat="1" applyFont="1" applyFill="1" applyBorder="1" applyAlignment="1" applyProtection="1">
      <alignment horizontal="center" vertical="center"/>
    </xf>
    <xf numFmtId="0" fontId="31" fillId="0" borderId="104" xfId="0" applyFont="1" applyFill="1" applyBorder="1" applyAlignment="1" applyProtection="1">
      <alignment horizontal="center" vertical="center"/>
    </xf>
    <xf numFmtId="0" fontId="32" fillId="0" borderId="91" xfId="0" applyFont="1" applyFill="1" applyBorder="1" applyAlignment="1" applyProtection="1">
      <alignment horizontal="center" vertical="center"/>
      <protection locked="0"/>
    </xf>
    <xf numFmtId="0" fontId="31" fillId="0" borderId="105" xfId="0" applyFont="1" applyFill="1" applyBorder="1" applyAlignment="1" applyProtection="1">
      <alignment horizontal="center" vertical="center"/>
      <protection locked="0"/>
    </xf>
    <xf numFmtId="0" fontId="33" fillId="0" borderId="92" xfId="1" applyFont="1" applyFill="1" applyBorder="1" applyAlignment="1" applyProtection="1">
      <alignment horizontal="center" vertical="center"/>
      <protection locked="0"/>
    </xf>
    <xf numFmtId="49" fontId="33" fillId="0" borderId="92" xfId="1" applyNumberFormat="1" applyFont="1" applyFill="1" applyBorder="1" applyAlignment="1" applyProtection="1">
      <alignment horizontal="center" vertical="center"/>
      <protection locked="0"/>
    </xf>
    <xf numFmtId="0" fontId="31" fillId="0" borderId="106" xfId="0" applyFont="1" applyFill="1" applyBorder="1" applyAlignment="1" applyProtection="1">
      <alignment horizontal="center" vertical="center"/>
    </xf>
    <xf numFmtId="0" fontId="31" fillId="0" borderId="16" xfId="0" applyFont="1" applyFill="1" applyBorder="1" applyAlignment="1" applyProtection="1">
      <alignment horizontal="center" vertical="center" wrapText="1"/>
      <protection locked="0"/>
    </xf>
    <xf numFmtId="0" fontId="31" fillId="0" borderId="17" xfId="0" applyFont="1" applyFill="1" applyBorder="1" applyAlignment="1" applyProtection="1">
      <alignment horizontal="center" vertical="center" wrapText="1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31" fillId="0" borderId="26" xfId="0" applyFont="1" applyFill="1" applyBorder="1" applyAlignment="1" applyProtection="1">
      <alignment horizontal="center" vertical="center"/>
      <protection locked="0"/>
    </xf>
    <xf numFmtId="0" fontId="31" fillId="0" borderId="22" xfId="0" applyFont="1" applyFill="1" applyBorder="1" applyAlignment="1" applyProtection="1">
      <alignment horizontal="center" vertical="center"/>
      <protection locked="0"/>
    </xf>
    <xf numFmtId="0" fontId="41" fillId="3" borderId="87" xfId="10" applyFont="1" applyFill="1" applyBorder="1" applyAlignment="1" applyProtection="1">
      <alignment horizontal="center" vertical="center" wrapText="1"/>
      <protection locked="0"/>
    </xf>
    <xf numFmtId="0" fontId="41" fillId="3" borderId="107" xfId="10" applyFont="1" applyFill="1" applyBorder="1" applyAlignment="1" applyProtection="1">
      <alignment horizontal="center" vertical="center" wrapText="1"/>
      <protection locked="0"/>
    </xf>
    <xf numFmtId="49" fontId="5" fillId="30" borderId="27" xfId="0" applyNumberFormat="1" applyFont="1" applyFill="1" applyBorder="1" applyAlignment="1">
      <alignment horizontal="center"/>
    </xf>
    <xf numFmtId="49" fontId="5" fillId="30" borderId="28" xfId="0" applyNumberFormat="1" applyFont="1" applyFill="1" applyBorder="1" applyAlignment="1">
      <alignment horizontal="center"/>
    </xf>
    <xf numFmtId="49" fontId="5" fillId="30" borderId="29" xfId="0" applyNumberFormat="1" applyFont="1" applyFill="1" applyBorder="1" applyAlignment="1">
      <alignment horizontal="center"/>
    </xf>
    <xf numFmtId="49" fontId="5" fillId="29" borderId="4" xfId="0" applyNumberFormat="1" applyFont="1" applyFill="1" applyBorder="1" applyAlignment="1">
      <alignment horizontal="center"/>
    </xf>
    <xf numFmtId="49" fontId="5" fillId="29" borderId="5" xfId="0" applyNumberFormat="1" applyFont="1" applyFill="1" applyBorder="1" applyAlignment="1">
      <alignment horizontal="center"/>
    </xf>
    <xf numFmtId="49" fontId="5" fillId="29" borderId="6" xfId="0" applyNumberFormat="1" applyFont="1" applyFill="1" applyBorder="1" applyAlignment="1">
      <alignment horizontal="center"/>
    </xf>
    <xf numFmtId="49" fontId="5" fillId="29" borderId="27" xfId="0" applyNumberFormat="1" applyFont="1" applyFill="1" applyBorder="1" applyAlignment="1">
      <alignment horizontal="center"/>
    </xf>
    <xf numFmtId="49" fontId="5" fillId="29" borderId="28" xfId="0" applyNumberFormat="1" applyFont="1" applyFill="1" applyBorder="1" applyAlignment="1">
      <alignment horizontal="center"/>
    </xf>
    <xf numFmtId="49" fontId="5" fillId="29" borderId="29" xfId="0" applyNumberFormat="1" applyFont="1" applyFill="1" applyBorder="1" applyAlignment="1">
      <alignment horizontal="center"/>
    </xf>
    <xf numFmtId="49" fontId="5" fillId="30" borderId="27" xfId="0" applyNumberFormat="1" applyFont="1" applyFill="1" applyBorder="1" applyAlignment="1">
      <alignment horizontal="center" vertical="center"/>
    </xf>
    <xf numFmtId="49" fontId="5" fillId="30" borderId="29" xfId="0" applyNumberFormat="1" applyFont="1" applyFill="1" applyBorder="1" applyAlignment="1">
      <alignment horizontal="center" vertical="center"/>
    </xf>
    <xf numFmtId="49" fontId="5" fillId="29" borderId="27" xfId="0" applyNumberFormat="1" applyFont="1" applyFill="1" applyBorder="1" applyAlignment="1">
      <alignment horizontal="center" vertical="center"/>
    </xf>
    <xf numFmtId="49" fontId="5" fillId="29" borderId="29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138">
    <cellStyle name="20% - Accent1 2" xfId="12" xr:uid="{00000000-0005-0000-0000-000000000000}"/>
    <cellStyle name="20% - Accent2 2" xfId="13" xr:uid="{00000000-0005-0000-0000-000001000000}"/>
    <cellStyle name="20% - Accent3 2" xfId="14" xr:uid="{00000000-0005-0000-0000-000002000000}"/>
    <cellStyle name="20% - Accent4 2" xfId="15" xr:uid="{00000000-0005-0000-0000-000003000000}"/>
    <cellStyle name="20% - Accent5 2" xfId="16" xr:uid="{00000000-0005-0000-0000-000004000000}"/>
    <cellStyle name="20% - Accent6 2" xfId="17" xr:uid="{00000000-0005-0000-0000-000005000000}"/>
    <cellStyle name="40% - Accent1 2" xfId="18" xr:uid="{00000000-0005-0000-0000-000006000000}"/>
    <cellStyle name="40% - Accent2 2" xfId="19" xr:uid="{00000000-0005-0000-0000-000007000000}"/>
    <cellStyle name="40% - Accent3 2" xfId="20" xr:uid="{00000000-0005-0000-0000-000008000000}"/>
    <cellStyle name="40% - Accent4 2" xfId="21" xr:uid="{00000000-0005-0000-0000-000009000000}"/>
    <cellStyle name="40% - Accent5 2" xfId="22" xr:uid="{00000000-0005-0000-0000-00000A000000}"/>
    <cellStyle name="40% - Accent6 2" xfId="23" xr:uid="{00000000-0005-0000-0000-00000B000000}"/>
    <cellStyle name="60% - Accent1 2" xfId="24" xr:uid="{00000000-0005-0000-0000-00000C000000}"/>
    <cellStyle name="60% - Accent2 2" xfId="25" xr:uid="{00000000-0005-0000-0000-00000D000000}"/>
    <cellStyle name="60% - Accent3 2" xfId="26" xr:uid="{00000000-0005-0000-0000-00000E000000}"/>
    <cellStyle name="60% - Accent4 2" xfId="27" xr:uid="{00000000-0005-0000-0000-00000F000000}"/>
    <cellStyle name="60% - Accent5 2" xfId="28" xr:uid="{00000000-0005-0000-0000-000010000000}"/>
    <cellStyle name="60% - Accent6 2" xfId="29" xr:uid="{00000000-0005-0000-0000-000011000000}"/>
    <cellStyle name="Accent1 2" xfId="30" xr:uid="{00000000-0005-0000-0000-000012000000}"/>
    <cellStyle name="Accent2 2" xfId="31" xr:uid="{00000000-0005-0000-0000-000013000000}"/>
    <cellStyle name="Accent3 2" xfId="32" xr:uid="{00000000-0005-0000-0000-000014000000}"/>
    <cellStyle name="Accent4 2" xfId="33" xr:uid="{00000000-0005-0000-0000-000015000000}"/>
    <cellStyle name="Accent5 2" xfId="34" xr:uid="{00000000-0005-0000-0000-000016000000}"/>
    <cellStyle name="Accent6 2" xfId="35" xr:uid="{00000000-0005-0000-0000-000017000000}"/>
    <cellStyle name="Bad 2" xfId="36" xr:uid="{00000000-0005-0000-0000-000018000000}"/>
    <cellStyle name="Calculation 2" xfId="37" xr:uid="{00000000-0005-0000-0000-000019000000}"/>
    <cellStyle name="Check Cell 2" xfId="38" xr:uid="{00000000-0005-0000-0000-00001A000000}"/>
    <cellStyle name="Explanatory Text 2" xfId="39" xr:uid="{00000000-0005-0000-0000-00001B000000}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Good 2" xfId="40" xr:uid="{00000000-0005-0000-0000-00004A000000}"/>
    <cellStyle name="Heading 1" xfId="10" builtinId="16"/>
    <cellStyle name="Heading 1 2" xfId="41" xr:uid="{00000000-0005-0000-0000-00004C000000}"/>
    <cellStyle name="Heading 2" xfId="11" builtinId="17"/>
    <cellStyle name="Heading 2 2" xfId="42" xr:uid="{00000000-0005-0000-0000-00004E000000}"/>
    <cellStyle name="Heading 3 2" xfId="43" xr:uid="{00000000-0005-0000-0000-00004F000000}"/>
    <cellStyle name="Heading 4 2" xfId="44" xr:uid="{00000000-0005-0000-0000-000050000000}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Input 2" xfId="45" xr:uid="{00000000-0005-0000-0000-00007F000000}"/>
    <cellStyle name="Linked Cell 2" xfId="46" xr:uid="{00000000-0005-0000-0000-000080000000}"/>
    <cellStyle name="Neutral 2" xfId="47" xr:uid="{00000000-0005-0000-0000-000081000000}"/>
    <cellStyle name="Normal" xfId="0" builtinId="0"/>
    <cellStyle name="Normal 2" xfId="1" xr:uid="{00000000-0005-0000-0000-000083000000}"/>
    <cellStyle name="Normal 2 2" xfId="53" xr:uid="{00000000-0005-0000-0000-000084000000}"/>
    <cellStyle name="Note 2" xfId="48" xr:uid="{00000000-0005-0000-0000-000085000000}"/>
    <cellStyle name="Output 2" xfId="49" xr:uid="{00000000-0005-0000-0000-000086000000}"/>
    <cellStyle name="Title 2" xfId="50" xr:uid="{00000000-0005-0000-0000-000087000000}"/>
    <cellStyle name="Total 2" xfId="51" xr:uid="{00000000-0005-0000-0000-000088000000}"/>
    <cellStyle name="Warning Text 2" xfId="52" xr:uid="{00000000-0005-0000-0000-000089000000}"/>
  </cellStyles>
  <dxfs count="323">
    <dxf>
      <font>
        <strike val="0"/>
        <outline val="0"/>
        <shadow val="0"/>
        <u val="none"/>
        <vertAlign val="baseline"/>
        <sz val="11"/>
        <name val="Times New Roman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165" formatCode="00000\-000\-000\-00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theme="0"/>
          <bgColor auto="1"/>
        </patternFill>
      </fill>
    </dxf>
    <dxf>
      <fill>
        <patternFill patternType="none">
          <bgColor auto="1"/>
        </patternFill>
      </fill>
    </dxf>
  </dxfs>
  <tableStyles count="2" defaultTableStyle="TableStyleMedium2" defaultPivotStyle="PivotStyleLight16">
    <tableStyle name="Table Style 1" pivot="0" count="1" xr9:uid="{00000000-0011-0000-FFFF-FFFF00000000}">
      <tableStyleElement type="wholeTable" dxfId="322"/>
    </tableStyle>
    <tableStyle name="Table Style 2" pivot="0" count="1" xr9:uid="{00000000-0011-0000-FFFF-FFFF01000000}">
      <tableStyleElement type="wholeTable" dxfId="3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2</xdr:row>
          <xdr:rowOff>12700</xdr:rowOff>
        </xdr:from>
        <xdr:to>
          <xdr:col>4</xdr:col>
          <xdr:colOff>0</xdr:colOff>
          <xdr:row>3</xdr:row>
          <xdr:rowOff>12700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THEATRO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3</xdr:row>
          <xdr:rowOff>12700</xdr:rowOff>
        </xdr:from>
        <xdr:to>
          <xdr:col>4</xdr:col>
          <xdr:colOff>12700</xdr:colOff>
          <xdr:row>4</xdr:row>
          <xdr:rowOff>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 STANDARD SETUP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1</xdr:row>
          <xdr:rowOff>12700</xdr:rowOff>
        </xdr:from>
        <xdr:to>
          <xdr:col>5</xdr:col>
          <xdr:colOff>0</xdr:colOff>
          <xdr:row>1</xdr:row>
          <xdr:rowOff>266700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FOOD SERVICE DELIVERY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2</xdr:row>
          <xdr:rowOff>12700</xdr:rowOff>
        </xdr:from>
        <xdr:to>
          <xdr:col>5</xdr:col>
          <xdr:colOff>0</xdr:colOff>
          <xdr:row>2</xdr:row>
          <xdr:rowOff>279400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FUEL KIOSKS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0</xdr:rowOff>
        </xdr:from>
        <xdr:to>
          <xdr:col>4</xdr:col>
          <xdr:colOff>0</xdr:colOff>
          <xdr:row>1</xdr:row>
          <xdr:rowOff>285750</xdr:rowOff>
        </xdr:to>
        <xdr:sp macro="" textlink="">
          <xdr:nvSpPr>
            <xdr:cNvPr id="3083" name="Check Box 11" descr="VIRTUAL DELIVERY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VIRTUAL DELIVERY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4" displayName="Table4" ref="A15:K214" totalsRowShown="0" headerRowDxfId="15" dataDxfId="13" headerRowBorderDxfId="14" tableBorderDxfId="12" totalsRowBorderDxfId="11" headerRowCellStyle="Heading 1">
  <autoFilter ref="A15:K214" xr:uid="{00000000-0009-0000-0100-000004000000}"/>
  <tableColumns count="11">
    <tableColumn id="1" xr3:uid="{00000000-0010-0000-0000-000001000000}" name="Lane/Number" dataDxfId="10"/>
    <tableColumn id="2" xr3:uid="{00000000-0010-0000-0000-000002000000}" name="Location" dataDxfId="9"/>
    <tableColumn id="11" xr3:uid="{00000000-0010-0000-0000-00000B000000}" name="Security Status" dataDxfId="8"/>
    <tableColumn id="3" xr3:uid="{00000000-0010-0000-0000-000003000000}" name="Tag No" dataDxfId="7" dataCellStyle="Normal 2"/>
    <tableColumn id="4" xr3:uid="{00000000-0010-0000-0000-000004000000}" name="Serial No.[*]" dataDxfId="6" dataCellStyle="Normal 2"/>
    <tableColumn id="5" xr3:uid="{00000000-0010-0000-0000-000005000000}" name="Description" dataDxfId="5"/>
    <tableColumn id="6" xr3:uid="{00000000-0010-0000-0000-000006000000}" name="Product ID[*]" dataDxfId="4"/>
    <tableColumn id="7" xr3:uid="{00000000-0010-0000-0000-000007000000}" name="Vendor ID" dataDxfId="3"/>
    <tableColumn id="8" xr3:uid="{00000000-0010-0000-0000-000008000000}" name="Category" dataDxfId="2"/>
    <tableColumn id="9" xr3:uid="{00000000-0010-0000-0000-000009000000}" name="Location ID" dataDxfId="1"/>
    <tableColumn id="10" xr3:uid="{00000000-0010-0000-0000-00000A000000}" name="Priority / SLA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228"/>
  <sheetViews>
    <sheetView tabSelected="1" zoomScale="80" zoomScaleNormal="80" workbookViewId="0">
      <selection activeCell="A202" sqref="A202:XFD209"/>
    </sheetView>
  </sheetViews>
  <sheetFormatPr defaultColWidth="8.7265625" defaultRowHeight="14" x14ac:dyDescent="0.35"/>
  <cols>
    <col min="1" max="1" width="19.1796875" style="271" bestFit="1" customWidth="1"/>
    <col min="2" max="2" width="22.54296875" style="271" bestFit="1" customWidth="1"/>
    <col min="3" max="3" width="41.81640625" style="271" bestFit="1" customWidth="1"/>
    <col min="4" max="4" width="22.54296875" style="272" bestFit="1" customWidth="1"/>
    <col min="5" max="5" width="27.1796875" style="271" bestFit="1" customWidth="1"/>
    <col min="6" max="6" width="63.81640625" style="127" bestFit="1" customWidth="1"/>
    <col min="7" max="7" width="25.453125" style="213" bestFit="1" customWidth="1"/>
    <col min="8" max="8" width="23.453125" style="213" bestFit="1" customWidth="1"/>
    <col min="9" max="9" width="23.81640625" style="213" bestFit="1" customWidth="1"/>
    <col min="10" max="10" width="22.453125" style="214" bestFit="1" customWidth="1"/>
    <col min="11" max="11" width="19.453125" style="213" bestFit="1" customWidth="1"/>
    <col min="12" max="12" width="4.1796875" style="127" customWidth="1"/>
    <col min="13" max="13" width="10.7265625" style="127" customWidth="1"/>
    <col min="14" max="14" width="12.1796875" style="127" customWidth="1"/>
    <col min="15" max="15" width="14.7265625" style="127" customWidth="1"/>
    <col min="16" max="16" width="11" style="127" customWidth="1"/>
    <col min="17" max="17" width="8.7265625" style="127" customWidth="1"/>
    <col min="18" max="16384" width="8.7265625" style="127"/>
  </cols>
  <sheetData>
    <row r="1" spans="1:16" ht="15" x14ac:dyDescent="0.35">
      <c r="A1" s="211" t="s">
        <v>310</v>
      </c>
      <c r="B1" s="212">
        <v>2020.0101</v>
      </c>
      <c r="C1" s="45" t="s">
        <v>344</v>
      </c>
      <c r="D1" s="342" t="s">
        <v>390</v>
      </c>
      <c r="E1" s="343"/>
      <c r="F1" s="309" t="s">
        <v>319</v>
      </c>
    </row>
    <row r="2" spans="1:16" ht="23.5" x14ac:dyDescent="0.35">
      <c r="A2" s="215" t="s">
        <v>103</v>
      </c>
      <c r="B2" s="216"/>
      <c r="C2" s="47"/>
      <c r="D2" s="314"/>
      <c r="E2" s="315"/>
    </row>
    <row r="3" spans="1:16" ht="23.5" x14ac:dyDescent="0.35">
      <c r="A3" s="218" t="s">
        <v>272</v>
      </c>
      <c r="B3" s="216">
        <v>853</v>
      </c>
      <c r="C3" s="198"/>
      <c r="D3" s="315"/>
      <c r="E3" s="315"/>
      <c r="F3" s="313"/>
    </row>
    <row r="4" spans="1:16" ht="23.5" x14ac:dyDescent="0.35">
      <c r="A4" s="219" t="s">
        <v>320</v>
      </c>
      <c r="B4" s="216" t="s">
        <v>321</v>
      </c>
      <c r="C4" s="201"/>
      <c r="D4" s="315"/>
      <c r="E4" s="315"/>
      <c r="F4" s="313"/>
    </row>
    <row r="5" spans="1:16" x14ac:dyDescent="0.35">
      <c r="A5" s="220" t="s">
        <v>273</v>
      </c>
      <c r="B5" s="221"/>
      <c r="C5" s="203"/>
      <c r="F5" s="313"/>
    </row>
    <row r="6" spans="1:16" x14ac:dyDescent="0.35">
      <c r="A6" s="220" t="s">
        <v>274</v>
      </c>
      <c r="B6" s="216"/>
      <c r="C6" s="203"/>
      <c r="D6" s="217"/>
      <c r="E6" s="159" t="s">
        <v>346</v>
      </c>
      <c r="F6" s="313"/>
    </row>
    <row r="7" spans="1:16" x14ac:dyDescent="0.35">
      <c r="A7" s="220" t="s">
        <v>275</v>
      </c>
      <c r="B7" s="216"/>
      <c r="C7" s="203"/>
      <c r="D7" s="199"/>
      <c r="E7" s="200" t="s">
        <v>347</v>
      </c>
      <c r="F7" s="313"/>
    </row>
    <row r="8" spans="1:16" x14ac:dyDescent="0.35">
      <c r="A8" s="220" t="s">
        <v>277</v>
      </c>
      <c r="B8" s="216">
        <v>4</v>
      </c>
      <c r="C8" s="205"/>
      <c r="D8" s="202"/>
      <c r="E8" s="200" t="s">
        <v>348</v>
      </c>
      <c r="F8" s="313"/>
    </row>
    <row r="9" spans="1:16" x14ac:dyDescent="0.35">
      <c r="A9" s="220" t="s">
        <v>278</v>
      </c>
      <c r="B9" s="216">
        <v>0</v>
      </c>
      <c r="C9" s="206"/>
      <c r="D9" s="204"/>
      <c r="E9" s="200" t="s">
        <v>349</v>
      </c>
      <c r="F9" s="313"/>
    </row>
    <row r="10" spans="1:16" x14ac:dyDescent="0.35">
      <c r="A10" s="220" t="s">
        <v>279</v>
      </c>
      <c r="B10" s="216">
        <v>4</v>
      </c>
      <c r="C10" s="203"/>
      <c r="D10" s="222"/>
      <c r="E10" s="223" t="s">
        <v>350</v>
      </c>
      <c r="F10" s="313"/>
    </row>
    <row r="11" spans="1:16" x14ac:dyDescent="0.35">
      <c r="A11" s="224" t="s">
        <v>311</v>
      </c>
      <c r="B11" s="216">
        <v>1</v>
      </c>
      <c r="C11" s="207"/>
      <c r="D11" s="312"/>
      <c r="E11" s="313"/>
      <c r="F11" s="313"/>
    </row>
    <row r="12" spans="1:16" x14ac:dyDescent="0.35">
      <c r="A12" s="225" t="s">
        <v>304</v>
      </c>
      <c r="B12" s="216" t="s">
        <v>391</v>
      </c>
      <c r="C12" s="226"/>
      <c r="D12" s="312"/>
      <c r="E12" s="313"/>
      <c r="F12" s="313"/>
    </row>
    <row r="13" spans="1:16" x14ac:dyDescent="0.35">
      <c r="A13" s="227" t="s">
        <v>276</v>
      </c>
      <c r="B13" s="216" t="s">
        <v>301</v>
      </c>
      <c r="C13" s="49"/>
      <c r="D13" s="312"/>
      <c r="E13" s="313"/>
      <c r="F13" s="313"/>
    </row>
    <row r="14" spans="1:16" ht="14.5" thickBot="1" x14ac:dyDescent="0.4">
      <c r="A14" s="228" t="s">
        <v>305</v>
      </c>
      <c r="B14" s="216"/>
      <c r="C14" s="208"/>
      <c r="D14" s="312"/>
      <c r="E14" s="313"/>
      <c r="F14" s="313"/>
    </row>
    <row r="15" spans="1:16" s="209" customFormat="1" ht="14.5" thickBot="1" x14ac:dyDescent="0.4">
      <c r="A15" s="229" t="s">
        <v>7</v>
      </c>
      <c r="B15" s="230" t="s">
        <v>6</v>
      </c>
      <c r="C15" s="230" t="s">
        <v>269</v>
      </c>
      <c r="D15" s="231" t="s">
        <v>4</v>
      </c>
      <c r="E15" s="230" t="s">
        <v>3</v>
      </c>
      <c r="F15" s="232" t="s">
        <v>1</v>
      </c>
      <c r="G15" s="230" t="s">
        <v>0</v>
      </c>
      <c r="H15" s="230" t="s">
        <v>2</v>
      </c>
      <c r="I15" s="230" t="s">
        <v>5</v>
      </c>
      <c r="J15" s="307" t="s">
        <v>181</v>
      </c>
      <c r="K15" s="308" t="s">
        <v>193</v>
      </c>
      <c r="N15" s="210"/>
      <c r="O15" s="210"/>
      <c r="P15" s="210"/>
    </row>
    <row r="16" spans="1:16" ht="42.5" thickBot="1" x14ac:dyDescent="0.4">
      <c r="A16" s="233" t="s">
        <v>204</v>
      </c>
      <c r="B16" s="196" t="s">
        <v>171</v>
      </c>
      <c r="C16" s="196" t="s">
        <v>270</v>
      </c>
      <c r="D16" s="234" t="s">
        <v>192</v>
      </c>
      <c r="E16" s="196" t="s">
        <v>265</v>
      </c>
      <c r="F16" s="196" t="s">
        <v>98</v>
      </c>
      <c r="G16" s="235" t="s">
        <v>85</v>
      </c>
      <c r="H16" s="235" t="s">
        <v>97</v>
      </c>
      <c r="I16" s="235" t="s">
        <v>266</v>
      </c>
      <c r="J16" s="236" t="s">
        <v>203</v>
      </c>
      <c r="K16" s="237" t="s">
        <v>194</v>
      </c>
      <c r="N16" s="337" t="s">
        <v>207</v>
      </c>
      <c r="O16" s="338"/>
      <c r="P16" s="238" t="s">
        <v>208</v>
      </c>
    </row>
    <row r="17" spans="1:17" ht="14.5" thickBot="1" x14ac:dyDescent="0.4">
      <c r="A17" s="64"/>
      <c r="B17" s="53"/>
      <c r="C17" s="53"/>
      <c r="D17" s="53"/>
      <c r="E17" s="53"/>
      <c r="F17" s="53" t="s">
        <v>297</v>
      </c>
      <c r="G17" s="134"/>
      <c r="H17" s="134"/>
      <c r="I17" s="134"/>
      <c r="J17" s="134"/>
      <c r="K17" s="135"/>
      <c r="M17" s="339" t="s">
        <v>264</v>
      </c>
      <c r="N17" s="340"/>
      <c r="O17" s="340"/>
      <c r="P17" s="340"/>
      <c r="Q17" s="341"/>
    </row>
    <row r="18" spans="1:17" ht="14.5" thickBot="1" x14ac:dyDescent="0.4">
      <c r="A18" s="153" t="s">
        <v>248</v>
      </c>
      <c r="B18" s="45" t="s">
        <v>143</v>
      </c>
      <c r="C18" s="45" t="s">
        <v>289</v>
      </c>
      <c r="D18" s="188"/>
      <c r="E18" s="66" t="s">
        <v>459</v>
      </c>
      <c r="F18" s="43" t="s">
        <v>40</v>
      </c>
      <c r="G18" s="44" t="str">
        <f>VLOOKUP(F:F,'Model-Vendor'!A:B,2,FALSE)</f>
        <v>CIS-881-PNC-WA</v>
      </c>
      <c r="H18" s="44" t="str">
        <f>VLOOKUP(F:F,'Model-Vendor'!A:C,3,FALSE)</f>
        <v>CISCO</v>
      </c>
      <c r="I18" s="44" t="s">
        <v>148</v>
      </c>
      <c r="J18" s="106" t="str">
        <f>CONCATENATE(TEXT($B$3,"00000"))&amp;"-"&amp;(VLOOKUP(I:I,'Location Legend'!A:B,2,FALSE))&amp;"-"&amp;(VLOOKUP(B:B,'Location Legend'!A:B,2,FALSE))&amp;"-"&amp;A18</f>
        <v>00853-RTR-PNC-01</v>
      </c>
      <c r="K18" s="136">
        <v>1</v>
      </c>
      <c r="M18" s="239" t="s">
        <v>2</v>
      </c>
      <c r="N18" s="240" t="s">
        <v>1</v>
      </c>
      <c r="O18" s="241" t="s">
        <v>205</v>
      </c>
      <c r="P18" s="242" t="s">
        <v>206</v>
      </c>
      <c r="Q18" s="243" t="s">
        <v>6</v>
      </c>
    </row>
    <row r="19" spans="1:17" x14ac:dyDescent="0.35">
      <c r="A19" s="107" t="s">
        <v>248</v>
      </c>
      <c r="B19" s="6" t="s">
        <v>177</v>
      </c>
      <c r="C19" s="122" t="s">
        <v>289</v>
      </c>
      <c r="D19" s="188"/>
      <c r="E19" s="124"/>
      <c r="F19" s="49" t="s">
        <v>337</v>
      </c>
      <c r="G19" s="48" t="str">
        <f>VLOOKUP(F:F,'Model-Vendor'!A:B,2,FALSE)</f>
        <v>VEDGE-100M-VZ-VRZ</v>
      </c>
      <c r="H19" s="48" t="str">
        <f>VLOOKUP(F:F,'Model-Vendor'!A:C,3,FALSE)</f>
        <v>CISCO</v>
      </c>
      <c r="I19" s="103" t="s">
        <v>148</v>
      </c>
      <c r="J19" s="106" t="str">
        <f>CONCATENATE(TEXT($B$3,"00000"))&amp;"-"&amp;(VLOOKUP(I:I,'Location Legend'!A:B,2,FALSE))&amp;"-"&amp;(VLOOKUP(B:B,'Location Legend'!A:B,2,FALSE))&amp;"-"&amp;A19</f>
        <v>00853-RTR-RCK-01</v>
      </c>
      <c r="K19" s="138">
        <v>1</v>
      </c>
      <c r="M19" s="244"/>
      <c r="N19" s="245"/>
      <c r="O19" s="246"/>
      <c r="P19" s="246"/>
      <c r="Q19" s="247"/>
    </row>
    <row r="20" spans="1:17" x14ac:dyDescent="0.35">
      <c r="A20" s="107" t="s">
        <v>248</v>
      </c>
      <c r="B20" s="6" t="s">
        <v>177</v>
      </c>
      <c r="C20" s="122" t="s">
        <v>289</v>
      </c>
      <c r="D20" s="89"/>
      <c r="E20" s="67"/>
      <c r="F20" s="43" t="s">
        <v>241</v>
      </c>
      <c r="G20" s="48" t="str">
        <f>VLOOKUP(F:F,'Model-Vendor'!A:B,2,FALSE)</f>
        <v>C2960X-48FPS-WA</v>
      </c>
      <c r="H20" s="48" t="str">
        <f>VLOOKUP(F:F,'Model-Vendor'!A:C,3,FALSE)</f>
        <v>CISCO</v>
      </c>
      <c r="I20" s="103" t="s">
        <v>158</v>
      </c>
      <c r="J20" s="106" t="str">
        <f>CONCATENATE(TEXT($B$3,"00000"))&amp;"-"&amp;(VLOOKUP(I:I,'Location Legend'!A:B,2,FALSE))&amp;"-"&amp;(VLOOKUP(B:B,'Location Legend'!A:B,2,FALSE))&amp;"-"&amp;A20</f>
        <v>00853-SWT-RCK-01</v>
      </c>
      <c r="K20" s="137">
        <v>1</v>
      </c>
      <c r="M20" s="248"/>
      <c r="N20" s="249"/>
      <c r="O20" s="250"/>
      <c r="P20" s="250"/>
      <c r="Q20" s="251"/>
    </row>
    <row r="21" spans="1:17" x14ac:dyDescent="0.35">
      <c r="A21" s="107" t="s">
        <v>249</v>
      </c>
      <c r="B21" s="6" t="s">
        <v>177</v>
      </c>
      <c r="C21" s="122" t="s">
        <v>289</v>
      </c>
      <c r="D21" s="89"/>
      <c r="E21" s="67"/>
      <c r="F21" s="43" t="s">
        <v>241</v>
      </c>
      <c r="G21" s="48" t="str">
        <f>VLOOKUP(F:F,'Model-Vendor'!A:B,2,FALSE)</f>
        <v>C2960X-48FPS-WA</v>
      </c>
      <c r="H21" s="48" t="str">
        <f>VLOOKUP(F:F,'Model-Vendor'!A:C,3,FALSE)</f>
        <v>CISCO</v>
      </c>
      <c r="I21" s="103" t="s">
        <v>158</v>
      </c>
      <c r="J21" s="106" t="str">
        <f>CONCATENATE(TEXT($B$3,"00000"))&amp;"-"&amp;(VLOOKUP(I:I,'Location Legend'!A:B,2,FALSE))&amp;"-"&amp;(VLOOKUP(B:B,'Location Legend'!A:B,2,FALSE))&amp;"-"&amp;A21</f>
        <v>00853-SWT-RCK-02</v>
      </c>
      <c r="K21" s="137">
        <v>1</v>
      </c>
      <c r="M21" s="248"/>
      <c r="N21" s="249"/>
      <c r="O21" s="250"/>
      <c r="P21" s="250"/>
      <c r="Q21" s="251"/>
    </row>
    <row r="22" spans="1:17" x14ac:dyDescent="0.35">
      <c r="A22" s="107" t="s">
        <v>248</v>
      </c>
      <c r="B22" s="6" t="s">
        <v>177</v>
      </c>
      <c r="C22" s="122" t="s">
        <v>289</v>
      </c>
      <c r="D22" s="89"/>
      <c r="E22" s="67"/>
      <c r="F22" s="43" t="s">
        <v>83</v>
      </c>
      <c r="G22" s="48" t="str">
        <f>VLOOKUP(F:F,'Model-Vendor'!A:B,2,FALSE)</f>
        <v>NAS210-WA</v>
      </c>
      <c r="H22" s="48" t="str">
        <f>VLOOKUP(F:F,'Model-Vendor'!A:C,3,FALSE)</f>
        <v>OVERLAND</v>
      </c>
      <c r="I22" s="103" t="s">
        <v>154</v>
      </c>
      <c r="J22" s="106" t="str">
        <f>CONCATENATE(TEXT($B$3,"00000"))&amp;"-"&amp;(VLOOKUP(I:I,'Location Legend'!A:B,2,FALSE))&amp;"-"&amp;(VLOOKUP(B:B,'Location Legend'!A:B,2,FALSE))&amp;"-"&amp;A22</f>
        <v>00853-SNP-RCK-01</v>
      </c>
      <c r="K22" s="137">
        <v>5</v>
      </c>
      <c r="M22" s="248"/>
      <c r="N22" s="249"/>
      <c r="O22" s="250"/>
      <c r="P22" s="250"/>
      <c r="Q22" s="251"/>
    </row>
    <row r="23" spans="1:17" x14ac:dyDescent="0.35">
      <c r="A23" s="107" t="s">
        <v>248</v>
      </c>
      <c r="B23" s="6" t="s">
        <v>177</v>
      </c>
      <c r="C23" s="122" t="s">
        <v>289</v>
      </c>
      <c r="D23" s="89"/>
      <c r="E23" s="67"/>
      <c r="F23" s="49" t="s">
        <v>26</v>
      </c>
      <c r="G23" s="48" t="str">
        <f>VLOOKUP(F:F,'Model-Vendor'!A:B,2,FALSE)</f>
        <v>220-FIREWALL-WA</v>
      </c>
      <c r="H23" s="48" t="str">
        <f>VLOOKUP(F:F,'Model-Vendor'!A:C,3,FALSE)</f>
        <v>PALO_ALTO</v>
      </c>
      <c r="I23" s="103" t="s">
        <v>135</v>
      </c>
      <c r="J23" s="106" t="str">
        <f>CONCATENATE(TEXT($B$3,"00000"))&amp;"-"&amp;(VLOOKUP(I:I,'Location Legend'!A:B,2,FALSE))&amp;"-"&amp;(VLOOKUP(B:B,'Location Legend'!A:B,2,FALSE))&amp;"-"&amp;A23</f>
        <v>00853-PAL-RCK-01</v>
      </c>
      <c r="K23" s="137">
        <v>1</v>
      </c>
      <c r="M23" s="248"/>
      <c r="N23" s="249"/>
      <c r="O23" s="250"/>
      <c r="P23" s="250"/>
      <c r="Q23" s="251"/>
    </row>
    <row r="24" spans="1:17" x14ac:dyDescent="0.35">
      <c r="A24" s="107" t="s">
        <v>248</v>
      </c>
      <c r="B24" s="6" t="s">
        <v>177</v>
      </c>
      <c r="C24" s="122" t="s">
        <v>289</v>
      </c>
      <c r="D24" s="89"/>
      <c r="E24" s="67"/>
      <c r="F24" s="49" t="s">
        <v>21</v>
      </c>
      <c r="G24" s="48" t="str">
        <f>VLOOKUP(F:F,'Model-Vendor'!A:B,2,FALSE)</f>
        <v>164600018801-WA</v>
      </c>
      <c r="H24" s="48" t="str">
        <f>VLOOKUP(F:F,'Model-Vendor'!A:C,3,FALSE)</f>
        <v>NCR</v>
      </c>
      <c r="I24" s="103" t="s">
        <v>120</v>
      </c>
      <c r="J24" s="106" t="str">
        <f>CONCATENATE(TEXT($B$3,"00000"))&amp;"-"&amp;(VLOOKUP(I:I,'Location Legend'!A:B,2,FALSE))&amp;"-"&amp;(VLOOKUP(B:B,'Location Legend'!A:B,2,FALSE))&amp;"-"&amp;A24</f>
        <v>00853-EPC-RCK-01</v>
      </c>
      <c r="K24" s="137">
        <v>1</v>
      </c>
      <c r="M24" s="248"/>
      <c r="N24" s="249"/>
      <c r="O24" s="250"/>
      <c r="P24" s="250"/>
      <c r="Q24" s="251"/>
    </row>
    <row r="25" spans="1:17" x14ac:dyDescent="0.35">
      <c r="A25" s="107" t="s">
        <v>189</v>
      </c>
      <c r="B25" s="6" t="s">
        <v>177</v>
      </c>
      <c r="C25" s="122" t="s">
        <v>289</v>
      </c>
      <c r="D25" s="89"/>
      <c r="E25" s="67"/>
      <c r="F25" s="43" t="s">
        <v>49</v>
      </c>
      <c r="G25" s="48" t="str">
        <f>VLOOKUP(F:F,'Model-Vendor'!A:B,2,FALSE)</f>
        <v>IBM-4800-C84-WA</v>
      </c>
      <c r="H25" s="48" t="str">
        <f>VLOOKUP(F:F,'Model-Vendor'!A:C,3,FALSE)</f>
        <v>IBM</v>
      </c>
      <c r="I25" s="103" t="s">
        <v>156</v>
      </c>
      <c r="J25" s="106" t="str">
        <f>CONCATENATE(TEXT($B$3,"00000"))&amp;"-"&amp;(VLOOKUP(I:I,'Location Legend'!A:B,2,FALSE))&amp;"-"&amp;(VLOOKUP(B:B,'Location Legend'!A:B,2,FALSE))&amp;"-"&amp;A25</f>
        <v>00853-SRV-RCK-RWS</v>
      </c>
      <c r="K25" s="137">
        <v>1</v>
      </c>
      <c r="M25" s="248"/>
      <c r="N25" s="249"/>
      <c r="O25" s="250"/>
      <c r="P25" s="250"/>
      <c r="Q25" s="251"/>
    </row>
    <row r="26" spans="1:17" ht="14.5" thickBot="1" x14ac:dyDescent="0.4">
      <c r="A26" s="88" t="s">
        <v>330</v>
      </c>
      <c r="B26" s="6" t="s">
        <v>177</v>
      </c>
      <c r="C26" s="122" t="s">
        <v>289</v>
      </c>
      <c r="D26" s="91" t="s">
        <v>460</v>
      </c>
      <c r="E26" s="68" t="s">
        <v>461</v>
      </c>
      <c r="F26" s="51"/>
      <c r="G26" s="105" t="e">
        <f>VLOOKUP(F:F,'Model-Vendor'!A:B,2,FALSE)</f>
        <v>#N/A</v>
      </c>
      <c r="H26" s="105" t="e">
        <f>VLOOKUP(F:F,'Model-Vendor'!A:C,3,FALSE)</f>
        <v>#N/A</v>
      </c>
      <c r="I26" s="104" t="s">
        <v>138</v>
      </c>
      <c r="J26" s="106" t="str">
        <f>CONCATENATE(TEXT($B$3,"00000"))&amp;"-"&amp;(VLOOKUP(I:I,'Location Legend'!A:B,2,FALSE))&amp;"-"&amp;(VLOOKUP(B:B,'Location Legend'!A:B,2,FALSE))&amp;"-"&amp;A26</f>
        <v>00853-PC-RCK-AMS</v>
      </c>
      <c r="K26" s="139">
        <v>1</v>
      </c>
    </row>
    <row r="27" spans="1:17" x14ac:dyDescent="0.35">
      <c r="A27" s="148" t="s">
        <v>248</v>
      </c>
      <c r="B27" s="72" t="s">
        <v>175</v>
      </c>
      <c r="C27" s="122" t="s">
        <v>289</v>
      </c>
      <c r="D27" s="123"/>
      <c r="E27" s="124"/>
      <c r="F27" s="72"/>
      <c r="G27" s="48" t="e">
        <f>VLOOKUP(F:F,'Model-Vendor'!A:B,2,FALSE)</f>
        <v>#N/A</v>
      </c>
      <c r="H27" s="48" t="e">
        <f>VLOOKUP(F:F,'Model-Vendor'!A:C,3,FALSE)</f>
        <v>#N/A</v>
      </c>
      <c r="I27" s="103" t="s">
        <v>198</v>
      </c>
      <c r="J27" s="106" t="str">
        <f>CONCATENATE(TEXT($B$3,"00000"))&amp;"-"&amp;(VLOOKUP(I:I,'Location Legend'!A:B,2,FALSE))&amp;"-"&amp;(VLOOKUP(B:B,'Location Legend'!A:B,2,FALSE))&amp;"-"&amp;A27</f>
        <v>00853-FUL-ELC-01</v>
      </c>
      <c r="K27" s="137">
        <v>1</v>
      </c>
      <c r="M27" s="248"/>
      <c r="N27" s="249"/>
      <c r="O27" s="250"/>
      <c r="P27" s="250"/>
      <c r="Q27" s="251"/>
    </row>
    <row r="28" spans="1:17" ht="14.5" thickBot="1" x14ac:dyDescent="0.4">
      <c r="A28" s="149" t="s">
        <v>308</v>
      </c>
      <c r="B28" s="73" t="s">
        <v>175</v>
      </c>
      <c r="C28" s="122" t="s">
        <v>289</v>
      </c>
      <c r="D28" s="123"/>
      <c r="E28" s="124"/>
      <c r="F28" s="73"/>
      <c r="G28" s="105" t="e">
        <f>VLOOKUP(F:F,'Model-Vendor'!A:B,2,FALSE)</f>
        <v>#N/A</v>
      </c>
      <c r="H28" s="105" t="e">
        <f>VLOOKUP(F:F,'Model-Vendor'!A:C,3,FALSE)</f>
        <v>#N/A</v>
      </c>
      <c r="I28" s="104" t="s">
        <v>167</v>
      </c>
      <c r="J28" s="106" t="str">
        <f>CONCATENATE(TEXT($B$3,"00000"))&amp;"-"&amp;(VLOOKUP(I:I,'Location Legend'!A:B,2,FALSE))&amp;"-"&amp;(VLOOKUP(B:B,'Location Legend'!A:B,2,FALSE))&amp;"-"&amp;A28</f>
        <v>00853-UPS-ELC-10</v>
      </c>
      <c r="K28" s="139">
        <v>1</v>
      </c>
      <c r="M28" s="248"/>
      <c r="N28" s="249"/>
      <c r="O28" s="250"/>
      <c r="P28" s="250"/>
      <c r="Q28" s="251"/>
    </row>
    <row r="29" spans="1:17" ht="14.5" thickBot="1" x14ac:dyDescent="0.4">
      <c r="A29" s="64"/>
      <c r="B29" s="53"/>
      <c r="C29" s="53"/>
      <c r="D29" s="69"/>
      <c r="E29" s="69"/>
      <c r="F29" s="53" t="s">
        <v>303</v>
      </c>
      <c r="G29" s="134"/>
      <c r="H29" s="134"/>
      <c r="I29" s="134"/>
      <c r="J29" s="134"/>
      <c r="K29" s="135"/>
    </row>
    <row r="30" spans="1:17" ht="14.5" thickBot="1" x14ac:dyDescent="0.4">
      <c r="A30" s="150" t="s">
        <v>309</v>
      </c>
      <c r="B30" s="102" t="s">
        <v>175</v>
      </c>
      <c r="C30" s="122" t="s">
        <v>289</v>
      </c>
      <c r="D30" s="123" t="s">
        <v>393</v>
      </c>
      <c r="E30" s="124" t="s">
        <v>392</v>
      </c>
      <c r="F30" s="102"/>
      <c r="G30" s="46" t="e">
        <f>VLOOKUP(F:F,'Model-Vendor'!A:B,2,FALSE)</f>
        <v>#N/A</v>
      </c>
      <c r="H30" s="46" t="e">
        <f>VLOOKUP(F:F,'Model-Vendor'!A:C,3,FALSE)</f>
        <v>#N/A</v>
      </c>
      <c r="I30" s="46" t="s">
        <v>167</v>
      </c>
      <c r="J30" s="106" t="str">
        <f>CONCATENATE(TEXT($B$3,"00000"))&amp;"-"&amp;(VLOOKUP(I:I,'Location Legend'!A:B,2,FALSE))&amp;"-"&amp;(VLOOKUP(B:B,'Location Legend'!A:B,2,FALSE))&amp;"-"&amp;A30</f>
        <v>00853-UPS-ELC-11</v>
      </c>
      <c r="K30" s="140">
        <v>1</v>
      </c>
    </row>
    <row r="31" spans="1:17" ht="14.5" thickBot="1" x14ac:dyDescent="0.4">
      <c r="A31" s="64"/>
      <c r="B31" s="53"/>
      <c r="C31" s="53"/>
      <c r="D31" s="69"/>
      <c r="E31" s="69"/>
      <c r="F31" s="53" t="s">
        <v>296</v>
      </c>
      <c r="G31" s="134"/>
      <c r="H31" s="134"/>
      <c r="I31" s="134"/>
      <c r="J31" s="134"/>
      <c r="K31" s="135"/>
      <c r="M31" s="248"/>
      <c r="N31" s="249"/>
      <c r="O31" s="250"/>
      <c r="P31" s="250"/>
      <c r="Q31" s="251"/>
    </row>
    <row r="32" spans="1:17" x14ac:dyDescent="0.35">
      <c r="A32" s="151" t="s">
        <v>248</v>
      </c>
      <c r="B32" s="47" t="s">
        <v>173</v>
      </c>
      <c r="C32" s="6" t="s">
        <v>286</v>
      </c>
      <c r="D32" s="90"/>
      <c r="E32" s="70"/>
      <c r="F32" s="6"/>
      <c r="G32" s="46" t="e">
        <f>VLOOKUP(F:F,'Model-Vendor'!A:B,2,FALSE)</f>
        <v>#N/A</v>
      </c>
      <c r="H32" s="46" t="e">
        <f>VLOOKUP(F:F,'Model-Vendor'!A:C,3,FALSE)</f>
        <v>#N/A</v>
      </c>
      <c r="I32" s="46" t="s">
        <v>197</v>
      </c>
      <c r="J32" s="106" t="str">
        <f>CONCATENATE(TEXT($B$3,"00000"))&amp;"-"&amp;(VLOOKUP(I:I,'Location Legend'!A:B,2,FALSE))&amp;"-"&amp;(VLOOKUP(B:B,'Location Legend'!A:B,2,FALSE))&amp;"-"&amp;A32</f>
        <v>00853-OPT-OFF-01</v>
      </c>
      <c r="K32" s="140">
        <v>2</v>
      </c>
      <c r="M32" s="248"/>
      <c r="N32" s="249"/>
      <c r="O32" s="250"/>
      <c r="P32" s="250"/>
      <c r="Q32" s="251"/>
    </row>
    <row r="33" spans="1:17" x14ac:dyDescent="0.35">
      <c r="A33" s="107" t="s">
        <v>189</v>
      </c>
      <c r="B33" s="6" t="s">
        <v>173</v>
      </c>
      <c r="C33" s="6" t="s">
        <v>286</v>
      </c>
      <c r="D33" s="89"/>
      <c r="E33" s="67"/>
      <c r="F33" s="163" t="s">
        <v>231</v>
      </c>
      <c r="G33" s="48" t="str">
        <f>VLOOKUP(F:F,'Model-Vendor'!A:B,2,FALSE)</f>
        <v>E170S-E177FP-WA</v>
      </c>
      <c r="H33" s="48" t="str">
        <f>VLOOKUP(F:F,'Model-Vendor'!A:C,3,FALSE)</f>
        <v>DELL</v>
      </c>
      <c r="I33" s="48" t="s">
        <v>132</v>
      </c>
      <c r="J33" s="106" t="str">
        <f>CONCATENATE(TEXT($B$3,"00000"))&amp;"-"&amp;(VLOOKUP(I:I,'Location Legend'!A:B,2,FALSE))&amp;"-"&amp;(VLOOKUP(B:B,'Location Legend'!A:B,2,FALSE))&amp;"-"&amp;A33</f>
        <v>00853-MON-OFF-RWS</v>
      </c>
      <c r="K33" s="137">
        <v>1</v>
      </c>
      <c r="M33" s="248"/>
      <c r="N33" s="249"/>
      <c r="O33" s="250"/>
      <c r="P33" s="250"/>
      <c r="Q33" s="251"/>
    </row>
    <row r="34" spans="1:17" x14ac:dyDescent="0.35">
      <c r="A34" s="160" t="s">
        <v>329</v>
      </c>
      <c r="B34" s="6" t="s">
        <v>173</v>
      </c>
      <c r="C34" s="6" t="s">
        <v>286</v>
      </c>
      <c r="D34" s="123"/>
      <c r="E34" s="124"/>
      <c r="F34" s="164" t="s">
        <v>307</v>
      </c>
      <c r="G34" s="125" t="s">
        <v>280</v>
      </c>
      <c r="H34" s="125" t="s">
        <v>93</v>
      </c>
      <c r="I34" s="125" t="s">
        <v>132</v>
      </c>
      <c r="J34" s="106" t="str">
        <f>CONCATENATE(TEXT($B$3,"00000"))&amp;"-"&amp;(VLOOKUP(I:I,'Location Legend'!A:B,2,FALSE))&amp;"-"&amp;(VLOOKUP(B:B,'Location Legend'!A:B,2,FALSE))&amp;"-"&amp;A34</f>
        <v>00853-MON-OFF-MAT</v>
      </c>
      <c r="K34" s="138">
        <v>1</v>
      </c>
      <c r="M34" s="252"/>
      <c r="N34" s="253"/>
      <c r="O34" s="254"/>
      <c r="P34" s="254"/>
      <c r="Q34" s="255"/>
    </row>
    <row r="35" spans="1:17" x14ac:dyDescent="0.35">
      <c r="A35" s="160" t="s">
        <v>329</v>
      </c>
      <c r="B35" s="6" t="s">
        <v>173</v>
      </c>
      <c r="C35" s="6" t="s">
        <v>286</v>
      </c>
      <c r="D35" s="123"/>
      <c r="E35" s="124"/>
      <c r="F35" s="159" t="s">
        <v>331</v>
      </c>
      <c r="G35" s="48" t="str">
        <f>VLOOKUP(F:F,'Model-Vendor'!A:B,2,FALSE)</f>
        <v>10MQS19D00-WA</v>
      </c>
      <c r="H35" s="48" t="str">
        <f>VLOOKUP(F:F,'Model-Vendor'!A:C,3,FALSE)</f>
        <v>LENOVO</v>
      </c>
      <c r="I35" s="103" t="s">
        <v>138</v>
      </c>
      <c r="J35" s="106" t="str">
        <f>CONCATENATE(TEXT($B$3,"00000"))&amp;"-"&amp;(VLOOKUP(I:I,'Location Legend'!A:B,2,FALSE))&amp;"-"&amp;(VLOOKUP(B:B,'Location Legend'!A:B,2,FALSE))&amp;"-"&amp;A35</f>
        <v>00853-PC-OFF-MAT</v>
      </c>
      <c r="K35" s="137">
        <v>1</v>
      </c>
      <c r="M35" s="252"/>
      <c r="N35" s="253"/>
      <c r="O35" s="254"/>
      <c r="P35" s="254"/>
      <c r="Q35" s="255"/>
    </row>
    <row r="36" spans="1:17" ht="14.5" thickBot="1" x14ac:dyDescent="0.4">
      <c r="A36" s="107" t="s">
        <v>254</v>
      </c>
      <c r="B36" s="47" t="s">
        <v>282</v>
      </c>
      <c r="C36" s="6" t="s">
        <v>286</v>
      </c>
      <c r="D36" s="89" t="s">
        <v>437</v>
      </c>
      <c r="E36" s="67" t="s">
        <v>438</v>
      </c>
      <c r="F36" s="43" t="s">
        <v>42</v>
      </c>
      <c r="G36" s="48" t="str">
        <f>VLOOKUP(F:F,'Model-Vendor'!A:B,2,FALSE)</f>
        <v>DELLOPTI710-WA</v>
      </c>
      <c r="H36" s="48" t="str">
        <f>VLOOKUP(F:F,'Model-Vendor'!A:C,3,FALSE)</f>
        <v>DELL</v>
      </c>
      <c r="I36" s="48" t="s">
        <v>138</v>
      </c>
      <c r="J36" s="106" t="e">
        <f>CONCATENATE(TEXT($B$3,"00000"))&amp;"-"&amp;(VLOOKUP(I:I,'Location Legend'!A:B,2,FALSE))&amp;"-"&amp;(VLOOKUP(B:B,'Location Legend'!A:B,2,FALSE))&amp;"-"&amp;A36</f>
        <v>#N/A</v>
      </c>
      <c r="K36" s="137">
        <v>4</v>
      </c>
      <c r="M36" s="256"/>
      <c r="N36" s="257"/>
      <c r="O36" s="258"/>
      <c r="P36" s="258"/>
      <c r="Q36" s="259"/>
    </row>
    <row r="37" spans="1:17" ht="14.5" thickBot="1" x14ac:dyDescent="0.4">
      <c r="A37" s="71" t="s">
        <v>345</v>
      </c>
      <c r="B37" s="47"/>
      <c r="C37" s="6" t="s">
        <v>286</v>
      </c>
      <c r="D37" s="92"/>
      <c r="E37" s="75"/>
      <c r="F37" s="49" t="s">
        <v>307</v>
      </c>
      <c r="G37" s="48" t="str">
        <f>VLOOKUP(F:F,'Model-Vendor'!A:B,2,FALSE)</f>
        <v>TIO22D-WA</v>
      </c>
      <c r="H37" s="48" t="str">
        <f>VLOOKUP(F:F,'Model-Vendor'!A:C,3,FALSE)</f>
        <v>LENOVO</v>
      </c>
      <c r="I37" s="48" t="s">
        <v>132</v>
      </c>
      <c r="J37" s="106" t="e">
        <f>CONCATENATE(TEXT($B$3,"00000"))&amp;"-"&amp;(VLOOKUP(I:I,'Location Legend'!A:B,2,FALSE))&amp;"-"&amp;(VLOOKUP(B:B,'Location Legend'!A:B,2,FALSE))&amp;"-"&amp;A37</f>
        <v>#N/A</v>
      </c>
      <c r="K37" s="137">
        <v>1</v>
      </c>
      <c r="M37" s="256"/>
      <c r="N37" s="257"/>
      <c r="O37" s="258"/>
      <c r="P37" s="258"/>
      <c r="Q37" s="259"/>
    </row>
    <row r="38" spans="1:17" x14ac:dyDescent="0.35">
      <c r="A38" s="107" t="s">
        <v>248</v>
      </c>
      <c r="B38" s="47" t="s">
        <v>173</v>
      </c>
      <c r="C38" s="6" t="s">
        <v>286</v>
      </c>
      <c r="D38" s="89" t="s">
        <v>462</v>
      </c>
      <c r="E38" s="67" t="s">
        <v>463</v>
      </c>
      <c r="F38" s="43" t="s">
        <v>366</v>
      </c>
      <c r="G38" s="48" t="str">
        <f>VLOOKUP(F:F,'Model-Vendor'!A:B,2,FALSE)</f>
        <v>TC520K1PEZU4PNA-WA</v>
      </c>
      <c r="H38" s="48" t="str">
        <f>VLOOKUP(F:F,'Model-Vendor'!A:C,3,FALSE)</f>
        <v>ZEBRA</v>
      </c>
      <c r="I38" s="48" t="s">
        <v>195</v>
      </c>
      <c r="J38" s="106" t="str">
        <f>CONCATENATE(TEXT($B$3,"00000"))&amp;"-"&amp;(VLOOKUP(I:I,'Location Legend'!A:B,2,FALSE))&amp;"-"&amp;(VLOOKUP(B:B,'Location Legend'!A:B,2,FALSE))&amp;"-"&amp;A38</f>
        <v>00853-WIR-OFF-01</v>
      </c>
      <c r="K38" s="137">
        <v>4</v>
      </c>
    </row>
    <row r="39" spans="1:17" ht="14.5" thickBot="1" x14ac:dyDescent="0.4">
      <c r="A39" s="88" t="s">
        <v>249</v>
      </c>
      <c r="B39" s="47" t="s">
        <v>173</v>
      </c>
      <c r="C39" s="6" t="s">
        <v>286</v>
      </c>
      <c r="D39" s="91" t="s">
        <v>464</v>
      </c>
      <c r="E39" s="68" t="s">
        <v>465</v>
      </c>
      <c r="F39" s="63" t="s">
        <v>66</v>
      </c>
      <c r="G39" s="105" t="str">
        <f>VLOOKUP(F:F,'Model-Vendor'!A:B,2,FALSE)</f>
        <v>MC9200-WA</v>
      </c>
      <c r="H39" s="105" t="str">
        <f>VLOOKUP(F:F,'Model-Vendor'!A:C,3,FALSE)</f>
        <v>ZEBRA</v>
      </c>
      <c r="I39" s="104" t="s">
        <v>195</v>
      </c>
      <c r="J39" s="106" t="str">
        <f>CONCATENATE(TEXT($B$3,"00000"))&amp;"-"&amp;(VLOOKUP(I:I,'Location Legend'!A:B,2,FALSE))&amp;"-"&amp;(VLOOKUP(B:B,'Location Legend'!A:B,2,FALSE))&amp;"-"&amp;A39</f>
        <v>00853-WIR-OFF-02</v>
      </c>
      <c r="K39" s="139">
        <v>4</v>
      </c>
    </row>
    <row r="40" spans="1:17" ht="14.5" thickBot="1" x14ac:dyDescent="0.4">
      <c r="A40" s="64"/>
      <c r="B40" s="53"/>
      <c r="C40" s="53"/>
      <c r="D40" s="69"/>
      <c r="E40" s="69"/>
      <c r="F40" s="53" t="s">
        <v>291</v>
      </c>
      <c r="G40" s="134"/>
      <c r="H40" s="134"/>
      <c r="I40" s="134"/>
      <c r="J40" s="134"/>
      <c r="K40" s="135"/>
    </row>
    <row r="41" spans="1:17" x14ac:dyDescent="0.35">
      <c r="A41" s="151" t="s">
        <v>255</v>
      </c>
      <c r="B41" s="47" t="s">
        <v>282</v>
      </c>
      <c r="C41" s="6" t="s">
        <v>286</v>
      </c>
      <c r="D41" s="89" t="s">
        <v>455</v>
      </c>
      <c r="E41" s="67" t="s">
        <v>456</v>
      </c>
      <c r="F41" s="6" t="s">
        <v>236</v>
      </c>
      <c r="G41" s="46" t="str">
        <f>VLOOKUP(F:F,'Model-Vendor'!A:B,2,FALSE)</f>
        <v>10AY001RUS-WA</v>
      </c>
      <c r="H41" s="46" t="str">
        <f>VLOOKUP(F:F,'Model-Vendor'!A:C,3,FALSE)</f>
        <v>LENOVO</v>
      </c>
      <c r="I41" s="44" t="s">
        <v>138</v>
      </c>
      <c r="J41" s="106" t="e">
        <f>CONCATENATE(TEXT($B$3,"00000"))&amp;"-"&amp;(VLOOKUP(I:I,'Location Legend'!A:B,2,FALSE))&amp;"-"&amp;(VLOOKUP(B:B,'Location Legend'!A:B,2,FALSE))&amp;"-"&amp;A41</f>
        <v>#N/A</v>
      </c>
      <c r="K41" s="140">
        <v>4</v>
      </c>
    </row>
    <row r="42" spans="1:17" x14ac:dyDescent="0.35">
      <c r="A42" s="107" t="s">
        <v>255</v>
      </c>
      <c r="B42" s="47" t="s">
        <v>282</v>
      </c>
      <c r="C42" s="6" t="s">
        <v>286</v>
      </c>
      <c r="D42" s="89" t="s">
        <v>457</v>
      </c>
      <c r="E42" s="67" t="s">
        <v>458</v>
      </c>
      <c r="F42" s="43" t="s">
        <v>19</v>
      </c>
      <c r="G42" s="48" t="str">
        <f>VLOOKUP(F:F,'Model-Vendor'!A:B,2,FALSE)</f>
        <v>1517L-WA</v>
      </c>
      <c r="H42" s="48" t="str">
        <f>VLOOKUP(F:F,'Model-Vendor'!A:C,3,FALSE)</f>
        <v>ELO</v>
      </c>
      <c r="I42" s="103" t="s">
        <v>199</v>
      </c>
      <c r="J42" s="106" t="e">
        <f>CONCATENATE(TEXT($B$3,"00000"))&amp;"-"&amp;(VLOOKUP(I:I,'Location Legend'!A:B,2,FALSE))&amp;"-"&amp;(VLOOKUP(B:B,'Location Legend'!A:B,2,FALSE))&amp;"-"&amp;A42</f>
        <v>#N/A</v>
      </c>
      <c r="K42" s="137">
        <v>4</v>
      </c>
    </row>
    <row r="43" spans="1:17" x14ac:dyDescent="0.35">
      <c r="A43" s="107" t="s">
        <v>256</v>
      </c>
      <c r="B43" s="6"/>
      <c r="C43" s="6"/>
      <c r="D43" s="89"/>
      <c r="E43" s="67"/>
      <c r="F43" s="6"/>
      <c r="G43" s="48" t="e">
        <f>VLOOKUP(F:F,'Model-Vendor'!A:B,2,FALSE)</f>
        <v>#N/A</v>
      </c>
      <c r="H43" s="48" t="e">
        <f>VLOOKUP(F:F,'Model-Vendor'!A:C,3,FALSE)</f>
        <v>#N/A</v>
      </c>
      <c r="I43" s="103" t="s">
        <v>138</v>
      </c>
      <c r="J43" s="106" t="e">
        <f>CONCATENATE(TEXT($B$3,"00000"))&amp;"-"&amp;(VLOOKUP(I:I,'Location Legend'!A:B,2,FALSE))&amp;"-"&amp;(VLOOKUP(B:B,'Location Legend'!A:B,2,FALSE))&amp;"-"&amp;A43</f>
        <v>#N/A</v>
      </c>
      <c r="K43" s="137">
        <v>4</v>
      </c>
    </row>
    <row r="44" spans="1:17" ht="14.5" thickBot="1" x14ac:dyDescent="0.4">
      <c r="A44" s="88" t="s">
        <v>256</v>
      </c>
      <c r="B44" s="6"/>
      <c r="C44" s="6"/>
      <c r="D44" s="89"/>
      <c r="E44" s="67"/>
      <c r="F44" s="43"/>
      <c r="G44" s="105" t="e">
        <f>VLOOKUP(F:F,'Model-Vendor'!A:B,2,FALSE)</f>
        <v>#N/A</v>
      </c>
      <c r="H44" s="105" t="e">
        <f>VLOOKUP(F:F,'Model-Vendor'!A:C,3,FALSE)</f>
        <v>#N/A</v>
      </c>
      <c r="I44" s="104" t="s">
        <v>199</v>
      </c>
      <c r="J44" s="106" t="e">
        <f>CONCATENATE(TEXT($B$3,"00000"))&amp;"-"&amp;(VLOOKUP(I:I,'Location Legend'!A:B,2,FALSE))&amp;"-"&amp;(VLOOKUP(B:B,'Location Legend'!A:B,2,FALSE))&amp;"-"&amp;A44</f>
        <v>#N/A</v>
      </c>
      <c r="K44" s="139">
        <v>4</v>
      </c>
    </row>
    <row r="45" spans="1:17" ht="14.5" thickBot="1" x14ac:dyDescent="0.4">
      <c r="A45" s="64"/>
      <c r="B45" s="53"/>
      <c r="C45" s="53"/>
      <c r="D45" s="69"/>
      <c r="E45" s="69"/>
      <c r="F45" s="53" t="s">
        <v>292</v>
      </c>
      <c r="G45" s="134"/>
      <c r="H45" s="134"/>
      <c r="I45" s="134"/>
      <c r="J45" s="134"/>
      <c r="K45" s="135"/>
    </row>
    <row r="46" spans="1:17" x14ac:dyDescent="0.35">
      <c r="A46" s="128" t="s">
        <v>335</v>
      </c>
      <c r="B46" s="47" t="s">
        <v>180</v>
      </c>
      <c r="C46" s="6" t="s">
        <v>271</v>
      </c>
      <c r="D46" s="89"/>
      <c r="E46" s="67"/>
      <c r="F46" s="6"/>
      <c r="G46" s="46" t="e">
        <f>VLOOKUP(F:F,'Model-Vendor'!A:B,2,FALSE)</f>
        <v>#N/A</v>
      </c>
      <c r="H46" s="46" t="e">
        <f>VLOOKUP(F:F,'Model-Vendor'!A:C,3,FALSE)</f>
        <v>#N/A</v>
      </c>
      <c r="I46" s="44" t="s">
        <v>112</v>
      </c>
      <c r="J46" s="106" t="str">
        <f>CONCATENATE(TEXT($B$3,"00000"))&amp;"-"&amp;(VLOOKUP(I:I,'Location Legend'!A:B,2,FALSE))&amp;"-"&amp;(VLOOKUP(B:B,'Location Legend'!A:B,2,FALSE))&amp;"-"&amp;A46</f>
        <v>00853-CLK-DEL-00</v>
      </c>
      <c r="K46" s="140">
        <v>4</v>
      </c>
    </row>
    <row r="47" spans="1:17" ht="14.5" thickBot="1" x14ac:dyDescent="0.4">
      <c r="A47" s="129" t="s">
        <v>335</v>
      </c>
      <c r="B47" s="51" t="s">
        <v>180</v>
      </c>
      <c r="C47" s="6" t="s">
        <v>271</v>
      </c>
      <c r="D47" s="89"/>
      <c r="E47" s="67"/>
      <c r="F47" s="43"/>
      <c r="G47" s="105" t="e">
        <f>VLOOKUP(F:F,'Model-Vendor'!A:B,2,FALSE)</f>
        <v>#N/A</v>
      </c>
      <c r="H47" s="105" t="e">
        <f>VLOOKUP(F:F,'Model-Vendor'!A:C,3,FALSE)</f>
        <v>#N/A</v>
      </c>
      <c r="I47" s="104" t="s">
        <v>199</v>
      </c>
      <c r="J47" s="106" t="str">
        <f>CONCATENATE(TEXT($B$3,"00000"))&amp;"-"&amp;(VLOOKUP(I:I,'Location Legend'!A:B,2,FALSE))&amp;"-"&amp;(VLOOKUP(B:B,'Location Legend'!A:B,2,FALSE))&amp;"-"&amp;A47</f>
        <v>00853-ELO-DEL-00</v>
      </c>
      <c r="K47" s="139">
        <v>4</v>
      </c>
    </row>
    <row r="48" spans="1:17" ht="14.5" thickBot="1" x14ac:dyDescent="0.4">
      <c r="A48" s="64"/>
      <c r="B48" s="53"/>
      <c r="C48" s="53"/>
      <c r="D48" s="69"/>
      <c r="E48" s="69"/>
      <c r="F48" s="53" t="s">
        <v>298</v>
      </c>
      <c r="G48" s="134"/>
      <c r="H48" s="134"/>
      <c r="I48" s="134"/>
      <c r="J48" s="134"/>
      <c r="K48" s="135"/>
    </row>
    <row r="49" spans="1:19" x14ac:dyDescent="0.35">
      <c r="A49" s="151" t="s">
        <v>248</v>
      </c>
      <c r="B49" s="6" t="s">
        <v>177</v>
      </c>
      <c r="C49" s="122" t="s">
        <v>289</v>
      </c>
      <c r="D49" s="90"/>
      <c r="E49" s="70"/>
      <c r="F49" s="6"/>
      <c r="G49" s="46" t="e">
        <f>VLOOKUP(F:F,'Model-Vendor'!A:B,2,FALSE)</f>
        <v>#N/A</v>
      </c>
      <c r="H49" s="46" t="e">
        <f>VLOOKUP(F:F,'Model-Vendor'!A:C,3,FALSE)</f>
        <v>#N/A</v>
      </c>
      <c r="I49" s="46" t="s">
        <v>167</v>
      </c>
      <c r="J49" s="106" t="str">
        <f>CONCATENATE(TEXT($B$3,"00000"))&amp;"-"&amp;(VLOOKUP(I:I,'Location Legend'!A:B,2,FALSE))&amp;"-"&amp;(VLOOKUP(B:B,'Location Legend'!A:B,2,FALSE))&amp;"-"&amp;A49</f>
        <v>00853-UPS-RCK-01</v>
      </c>
      <c r="K49" s="140">
        <v>1</v>
      </c>
    </row>
    <row r="50" spans="1:19" x14ac:dyDescent="0.35">
      <c r="A50" s="107" t="s">
        <v>249</v>
      </c>
      <c r="B50" s="43" t="s">
        <v>177</v>
      </c>
      <c r="C50" s="122" t="s">
        <v>289</v>
      </c>
      <c r="D50" s="89"/>
      <c r="E50" s="67"/>
      <c r="F50" s="6"/>
      <c r="G50" s="48" t="e">
        <f>VLOOKUP(F:F,'Model-Vendor'!A:B,2,FALSE)</f>
        <v>#N/A</v>
      </c>
      <c r="H50" s="48" t="e">
        <f>VLOOKUP(F:F,'Model-Vendor'!A:C,3,FALSE)</f>
        <v>#N/A</v>
      </c>
      <c r="I50" s="48" t="s">
        <v>167</v>
      </c>
      <c r="J50" s="106" t="str">
        <f>CONCATENATE(TEXT($B$3,"00000"))&amp;"-"&amp;(VLOOKUP(I:I,'Location Legend'!A:B,2,FALSE))&amp;"-"&amp;(VLOOKUP(B:B,'Location Legend'!A:B,2,FALSE))&amp;"-"&amp;A50</f>
        <v>00853-UPS-RCK-02</v>
      </c>
      <c r="K50" s="137">
        <v>1</v>
      </c>
    </row>
    <row r="51" spans="1:19" x14ac:dyDescent="0.35">
      <c r="A51" s="107" t="s">
        <v>250</v>
      </c>
      <c r="B51" s="43" t="s">
        <v>177</v>
      </c>
      <c r="C51" s="122" t="s">
        <v>289</v>
      </c>
      <c r="D51" s="89"/>
      <c r="E51" s="67"/>
      <c r="F51" s="6"/>
      <c r="G51" s="48" t="e">
        <f>VLOOKUP(F:F,'Model-Vendor'!A:B,2,FALSE)</f>
        <v>#N/A</v>
      </c>
      <c r="H51" s="48" t="e">
        <f>VLOOKUP(F:F,'Model-Vendor'!A:C,3,FALSE)</f>
        <v>#N/A</v>
      </c>
      <c r="I51" s="48" t="s">
        <v>167</v>
      </c>
      <c r="J51" s="106" t="str">
        <f>CONCATENATE(TEXT($B$3,"00000"))&amp;"-"&amp;(VLOOKUP(I:I,'Location Legend'!A:B,2,FALSE))&amp;"-"&amp;(VLOOKUP(B:B,'Location Legend'!A:B,2,FALSE))&amp;"-"&amp;A51</f>
        <v>00853-UPS-RCK-03</v>
      </c>
      <c r="K51" s="137">
        <v>1</v>
      </c>
    </row>
    <row r="52" spans="1:19" ht="14.5" thickBot="1" x14ac:dyDescent="0.4">
      <c r="A52" s="180" t="s">
        <v>251</v>
      </c>
      <c r="B52" s="181"/>
      <c r="C52" s="181"/>
      <c r="D52" s="182"/>
      <c r="E52" s="183"/>
      <c r="F52" s="320"/>
      <c r="G52" s="184" t="e">
        <f>VLOOKUP(F:F,'Model-Vendor'!A:B,2,FALSE)</f>
        <v>#N/A</v>
      </c>
      <c r="H52" s="184" t="e">
        <f>VLOOKUP(F:F,'Model-Vendor'!A:C,3,FALSE)</f>
        <v>#N/A</v>
      </c>
      <c r="I52" s="184" t="s">
        <v>167</v>
      </c>
      <c r="J52" s="279" t="e">
        <f>CONCATENATE(TEXT($B$3,"00000"))&amp;"-"&amp;(VLOOKUP(I:I,'Location Legend'!A:B,2,FALSE))&amp;"-"&amp;(VLOOKUP(B:B,'Location Legend'!A:B,2,FALSE))&amp;"-"&amp;A52</f>
        <v>#N/A</v>
      </c>
      <c r="K52" s="186">
        <v>1</v>
      </c>
    </row>
    <row r="53" spans="1:19" s="322" customFormat="1" ht="14.5" thickBot="1" x14ac:dyDescent="0.4">
      <c r="A53" s="156"/>
      <c r="B53" s="5"/>
      <c r="C53" s="5"/>
      <c r="D53" s="5"/>
      <c r="E53" s="5"/>
      <c r="F53" s="53" t="s">
        <v>386</v>
      </c>
      <c r="G53" s="144"/>
      <c r="H53" s="144"/>
      <c r="I53" s="144"/>
      <c r="J53" s="144"/>
      <c r="K53" s="145"/>
    </row>
    <row r="54" spans="1:19" hidden="1" x14ac:dyDescent="0.35">
      <c r="A54" s="47"/>
      <c r="B54" s="6"/>
      <c r="C54" s="6"/>
      <c r="D54" s="90"/>
      <c r="E54" s="70"/>
      <c r="F54" s="47" t="s">
        <v>388</v>
      </c>
      <c r="G54" s="46" t="s">
        <v>372</v>
      </c>
      <c r="H54" s="46" t="s">
        <v>373</v>
      </c>
      <c r="I54" s="46" t="s">
        <v>156</v>
      </c>
      <c r="J54" s="132" t="e">
        <f>CONCATENATE(TEXT($B$3,"00000"))&amp;"-"&amp;(VLOOKUP(I:I,'Location Legend'!A:B,2,FALSE))&amp;"-"&amp;(VLOOKUP(B:B,'Location Legend'!A:B,2,FALSE))&amp;"-"&amp;A54</f>
        <v>#N/A</v>
      </c>
      <c r="K54" s="321">
        <v>4</v>
      </c>
      <c r="M54" s="260"/>
      <c r="N54" s="260"/>
      <c r="O54" s="261"/>
      <c r="P54" s="261"/>
      <c r="Q54" s="262"/>
    </row>
    <row r="55" spans="1:19" ht="14.5" hidden="1" thickBot="1" x14ac:dyDescent="0.4">
      <c r="A55" s="173"/>
      <c r="B55" s="311"/>
      <c r="C55" s="311"/>
      <c r="D55" s="310"/>
      <c r="E55" s="174"/>
      <c r="F55" s="311"/>
      <c r="G55" s="175" t="e">
        <f>VLOOKUP(F:F,'Model-Vendor'!A:B,2,FALSE)</f>
        <v>#N/A</v>
      </c>
      <c r="H55" s="175" t="e">
        <f>VLOOKUP(F:F,'Model-Vendor'!A:C,3,FALSE)</f>
        <v>#N/A</v>
      </c>
      <c r="I55" s="175" t="s">
        <v>167</v>
      </c>
      <c r="J55" s="106" t="e">
        <f>CONCATENATE(TEXT($B$3,"00000"))&amp;"-"&amp;(VLOOKUP(I:I,'Location Legend'!A:B,2,FALSE))&amp;"-"&amp;(VLOOKUP(B:B,'Location Legend'!A:B,2,FALSE))&amp;"-"&amp;A55</f>
        <v>#N/A</v>
      </c>
      <c r="K55" s="186">
        <v>4</v>
      </c>
    </row>
    <row r="56" spans="1:19" ht="14.5" thickBot="1" x14ac:dyDescent="0.4">
      <c r="A56" s="316"/>
      <c r="B56" s="317"/>
      <c r="C56" s="317"/>
      <c r="D56" s="317"/>
      <c r="E56" s="317"/>
      <c r="F56" s="318" t="s">
        <v>387</v>
      </c>
      <c r="G56" s="319"/>
      <c r="H56" s="319"/>
      <c r="I56" s="319"/>
      <c r="J56" s="144"/>
      <c r="K56" s="145"/>
    </row>
    <row r="57" spans="1:19" hidden="1" x14ac:dyDescent="0.35">
      <c r="A57" s="180" t="s">
        <v>370</v>
      </c>
      <c r="B57" s="6"/>
      <c r="C57" s="181"/>
      <c r="D57" s="182"/>
      <c r="E57" s="183"/>
      <c r="F57" s="187" t="s">
        <v>371</v>
      </c>
      <c r="G57" s="184" t="s">
        <v>372</v>
      </c>
      <c r="H57" s="184" t="s">
        <v>373</v>
      </c>
      <c r="I57" s="184" t="s">
        <v>156</v>
      </c>
      <c r="J57" s="106" t="e">
        <f>CONCATENATE(TEXT($B$3,"00000"))&amp;"-"&amp;(VLOOKUP(I:I,'Location Legend'!A:B,2,FALSE))&amp;"-"&amp;(VLOOKUP(B:B,'Location Legend'!A:B,2,FALSE))&amp;"-"&amp;A57</f>
        <v>#N/A</v>
      </c>
      <c r="K57" s="186">
        <v>4</v>
      </c>
      <c r="M57" s="260"/>
      <c r="N57" s="260"/>
      <c r="O57" s="261"/>
      <c r="P57" s="261"/>
      <c r="Q57" s="262"/>
    </row>
    <row r="58" spans="1:19" hidden="1" x14ac:dyDescent="0.35">
      <c r="A58" s="148" t="s">
        <v>370</v>
      </c>
      <c r="B58" s="6"/>
      <c r="C58" s="181"/>
      <c r="D58" s="89"/>
      <c r="E58" s="67"/>
      <c r="F58" s="49" t="s">
        <v>382</v>
      </c>
      <c r="G58" s="48" t="s">
        <v>375</v>
      </c>
      <c r="H58" s="48" t="s">
        <v>93</v>
      </c>
      <c r="I58" s="48" t="s">
        <v>338</v>
      </c>
      <c r="J58" s="106" t="e">
        <f>CONCATENATE(TEXT($B$3,"00000"))&amp;"-"&amp;(VLOOKUP(I:I,'Location Legend'!A:B,2,FALSE))&amp;"-"&amp;(VLOOKUP(B:B,'Location Legend'!A:B,2,FALSE))&amp;"-"&amp;A58</f>
        <v>#N/A</v>
      </c>
      <c r="K58" s="137">
        <v>4</v>
      </c>
    </row>
    <row r="59" spans="1:19" hidden="1" x14ac:dyDescent="0.35">
      <c r="A59" s="107" t="s">
        <v>370</v>
      </c>
      <c r="B59" s="6"/>
      <c r="C59" s="181"/>
      <c r="D59" s="89"/>
      <c r="E59" s="67"/>
      <c r="F59" s="6"/>
      <c r="G59" s="48" t="e">
        <f>VLOOKUP(F:F,'Model-Vendor'!A:B,2,FALSE)</f>
        <v>#N/A</v>
      </c>
      <c r="H59" s="48" t="e">
        <f>VLOOKUP(F:F,'Model-Vendor'!A:C,3,FALSE)</f>
        <v>#N/A</v>
      </c>
      <c r="I59" s="48" t="s">
        <v>122</v>
      </c>
      <c r="J59" s="106" t="e">
        <f>CONCATENATE(TEXT($B$3,"00000"))&amp;"-"&amp;(VLOOKUP(I:I,'Location Legend'!A:B,2,FALSE))&amp;"-"&amp;(VLOOKUP(B:B,'Location Legend'!A:B,2,FALSE))&amp;"-"&amp;A59</f>
        <v>#N/A</v>
      </c>
      <c r="K59" s="141">
        <f t="shared" ref="K59" si="0">IF($B$8=3,3,IF($B$8&gt;=4,4,IF($B$8=2,2,"")))</f>
        <v>4</v>
      </c>
    </row>
    <row r="60" spans="1:19" ht="14.5" hidden="1" thickBot="1" x14ac:dyDescent="0.4">
      <c r="A60" s="148" t="s">
        <v>370</v>
      </c>
      <c r="B60" s="6"/>
      <c r="C60" s="181"/>
      <c r="D60" s="89"/>
      <c r="E60" s="67"/>
      <c r="F60" s="49" t="s">
        <v>376</v>
      </c>
      <c r="G60" s="48" t="s">
        <v>377</v>
      </c>
      <c r="H60" s="48" t="s">
        <v>90</v>
      </c>
      <c r="I60" s="48" t="s">
        <v>199</v>
      </c>
      <c r="J60" s="106" t="e">
        <f>CONCATENATE(TEXT($B$3,"00000"))&amp;"-"&amp;(VLOOKUP(I:I,'Location Legend'!A:B,2,FALSE))&amp;"-"&amp;(VLOOKUP(B:B,'Location Legend'!A:B,2,FALSE))&amp;"-"&amp;A60</f>
        <v>#N/A</v>
      </c>
      <c r="K60" s="137">
        <v>4</v>
      </c>
    </row>
    <row r="61" spans="1:19" ht="14.5" thickBot="1" x14ac:dyDescent="0.4">
      <c r="A61" s="263"/>
      <c r="B61" s="264"/>
      <c r="C61" s="264"/>
      <c r="D61" s="265"/>
      <c r="E61" s="265"/>
      <c r="F61" s="53" t="s">
        <v>293</v>
      </c>
      <c r="G61" s="266"/>
      <c r="H61" s="266"/>
      <c r="I61" s="266"/>
      <c r="J61" s="266"/>
      <c r="K61" s="267"/>
      <c r="R61" s="268"/>
      <c r="S61" s="268"/>
    </row>
    <row r="62" spans="1:19" x14ac:dyDescent="0.35">
      <c r="A62" s="151">
        <v>11</v>
      </c>
      <c r="B62" s="162" t="s">
        <v>182</v>
      </c>
      <c r="C62" s="47" t="s">
        <v>271</v>
      </c>
      <c r="D62" s="89"/>
      <c r="E62" s="67"/>
      <c r="F62" s="65" t="s">
        <v>239</v>
      </c>
      <c r="G62" s="46" t="str">
        <f>VLOOKUP(F:F,'Model-Vendor'!A:B,2,FALSE)</f>
        <v>4852-E66-WA</v>
      </c>
      <c r="H62" s="46" t="str">
        <f>VLOOKUP(F:F,'Model-Vendor'!A:C,3,FALSE)</f>
        <v>IBM</v>
      </c>
      <c r="I62" s="46" t="s">
        <v>146</v>
      </c>
      <c r="J62" s="106" t="str">
        <f>CONCATENATE(TEXT($B$3,"00000"))&amp;"-"&amp;(VLOOKUP(I:I,'Location Legend'!A:B,2,FALSE))&amp;"-"&amp;(VLOOKUP(B:B,'Location Legend'!A:B,2,FALSE))&amp;"-"&amp;A62</f>
        <v>00853-REG-COR-11</v>
      </c>
      <c r="K62" s="141">
        <f>IF($B$8=3,3,IF($B$8&gt;=4,4,IF($B$8=2,2,"")))</f>
        <v>4</v>
      </c>
    </row>
    <row r="63" spans="1:19" x14ac:dyDescent="0.35">
      <c r="A63" s="107">
        <v>11</v>
      </c>
      <c r="B63" s="49" t="str">
        <f>B62</f>
        <v>CORE</v>
      </c>
      <c r="C63" s="49" t="s">
        <v>271</v>
      </c>
      <c r="D63" s="89"/>
      <c r="E63" s="67"/>
      <c r="F63" s="49" t="s">
        <v>47</v>
      </c>
      <c r="G63" s="48" t="str">
        <f>VLOOKUP(F:F,'Model-Vendor'!A:B,2,FALSE)</f>
        <v>IBM-4610-1NR-WA</v>
      </c>
      <c r="H63" s="48" t="str">
        <f>VLOOKUP(F:F,'Model-Vendor'!A:C,3,FALSE)</f>
        <v>IBM</v>
      </c>
      <c r="I63" s="48" t="s">
        <v>145</v>
      </c>
      <c r="J63" s="106" t="str">
        <f>CONCATENATE(TEXT($B$3,"00000"))&amp;"-"&amp;(VLOOKUP(I:I,'Location Legend'!A:B,2,FALSE))&amp;"-"&amp;(VLOOKUP(B:B,'Location Legend'!A:B,2,FALSE))&amp;"-"&amp;A63</f>
        <v>00853-PRT-COR-11</v>
      </c>
      <c r="K63" s="141">
        <f t="shared" ref="K63:K124" si="1">IF($B$8=3,3,IF($B$8&gt;=4,4,IF($B$8=2,2,"")))</f>
        <v>4</v>
      </c>
    </row>
    <row r="64" spans="1:19" x14ac:dyDescent="0.35">
      <c r="A64" s="107">
        <v>11</v>
      </c>
      <c r="B64" s="49" t="str">
        <f t="shared" ref="B64:B68" si="2">B63</f>
        <v>CORE</v>
      </c>
      <c r="C64" s="49" t="s">
        <v>271</v>
      </c>
      <c r="D64" s="89" t="s">
        <v>413</v>
      </c>
      <c r="E64" s="67" t="s">
        <v>425</v>
      </c>
      <c r="F64" s="49" t="s">
        <v>237</v>
      </c>
      <c r="G64" s="48" t="str">
        <f>VLOOKUP(F:F,'Model-Vendor'!A:B,2,FALSE)</f>
        <v>010368-411E-WA</v>
      </c>
      <c r="H64" s="48" t="str">
        <f>VLOOKUP(F:F,'Model-Vendor'!A:C,3,FALSE)</f>
        <v>EQUINOX</v>
      </c>
      <c r="I64" s="48" t="s">
        <v>142</v>
      </c>
      <c r="J64" s="106" t="str">
        <f>CONCATENATE(TEXT($B$3,"00000"))&amp;"-"&amp;(VLOOKUP(I:I,'Location Legend'!A:B,2,FALSE))&amp;"-"&amp;(VLOOKUP(B:B,'Location Legend'!A:B,2,FALSE))&amp;"-"&amp;A64</f>
        <v>00853-PIN-COR-11</v>
      </c>
      <c r="K64" s="141">
        <f t="shared" si="1"/>
        <v>4</v>
      </c>
    </row>
    <row r="65" spans="1:19" x14ac:dyDescent="0.35">
      <c r="A65" s="107">
        <v>11</v>
      </c>
      <c r="B65" s="49" t="str">
        <f t="shared" si="2"/>
        <v>CORE</v>
      </c>
      <c r="C65" s="49" t="s">
        <v>271</v>
      </c>
      <c r="D65" s="89" t="s">
        <v>414</v>
      </c>
      <c r="E65" s="67" t="s">
        <v>426</v>
      </c>
      <c r="F65" s="6" t="s">
        <v>229</v>
      </c>
      <c r="G65" s="48" t="str">
        <f>VLOOKUP(F:F,'Model-Vendor'!A:B,2,FALSE)</f>
        <v>DS9808-WA</v>
      </c>
      <c r="H65" s="48" t="str">
        <f>VLOOKUP(F:F,'Model-Vendor'!A:C,3,FALSE)</f>
        <v>ZEBRA</v>
      </c>
      <c r="I65" s="48" t="s">
        <v>122</v>
      </c>
      <c r="J65" s="106" t="str">
        <f>CONCATENATE(TEXT($B$3,"00000"))&amp;"-"&amp;(VLOOKUP(I:I,'Location Legend'!A:B,2,FALSE))&amp;"-"&amp;(VLOOKUP(B:B,'Location Legend'!A:B,2,FALSE))&amp;"-"&amp;A65</f>
        <v>00853-HHS-COR-11</v>
      </c>
      <c r="K65" s="141">
        <f t="shared" si="1"/>
        <v>4</v>
      </c>
    </row>
    <row r="66" spans="1:19" x14ac:dyDescent="0.35">
      <c r="A66" s="107">
        <v>11</v>
      </c>
      <c r="B66" s="49" t="str">
        <f t="shared" si="2"/>
        <v>CORE</v>
      </c>
      <c r="C66" s="49" t="s">
        <v>271</v>
      </c>
      <c r="D66" s="89" t="s">
        <v>415</v>
      </c>
      <c r="E66" s="67" t="s">
        <v>427</v>
      </c>
      <c r="F66" s="49" t="s">
        <v>225</v>
      </c>
      <c r="G66" s="48" t="str">
        <f>VLOOKUP(F:F,'Model-Vendor'!A:B,2,FALSE)</f>
        <v>7K7LBCUW8K4A-WA</v>
      </c>
      <c r="H66" s="48" t="str">
        <f>VLOOKUP(F:F,'Model-Vendor'!A:C,3,FALSE)</f>
        <v>TELEQUIP</v>
      </c>
      <c r="I66" s="48" t="s">
        <v>114</v>
      </c>
      <c r="J66" s="106" t="str">
        <f>CONCATENATE(TEXT($B$3,"00000"))&amp;"-"&amp;(VLOOKUP(I:I,'Location Legend'!A:B,2,FALSE))&amp;"-"&amp;(VLOOKUP(B:B,'Location Legend'!A:B,2,FALSE))&amp;"-"&amp;A66</f>
        <v>00853-COI-COR-11</v>
      </c>
      <c r="K66" s="142">
        <v>4</v>
      </c>
    </row>
    <row r="67" spans="1:19" x14ac:dyDescent="0.35">
      <c r="A67" s="107">
        <v>11</v>
      </c>
      <c r="B67" s="49" t="str">
        <f t="shared" si="2"/>
        <v>CORE</v>
      </c>
      <c r="C67" s="49" t="s">
        <v>271</v>
      </c>
      <c r="D67" s="89"/>
      <c r="E67" s="67"/>
      <c r="F67" s="6"/>
      <c r="G67" s="48" t="e">
        <f>VLOOKUP(F:F,'Model-Vendor'!A:B,2,FALSE)</f>
        <v>#N/A</v>
      </c>
      <c r="H67" s="48" t="e">
        <f>VLOOKUP(F:F,'Model-Vendor'!A:C,3,FALSE)</f>
        <v>#N/A</v>
      </c>
      <c r="I67" s="48" t="s">
        <v>167</v>
      </c>
      <c r="J67" s="106" t="str">
        <f>CONCATENATE(TEXT($B$3,"00000"))&amp;"-"&amp;(VLOOKUP(I:I,'Location Legend'!A:B,2,FALSE))&amp;"-"&amp;(VLOOKUP(B:B,'Location Legend'!A:B,2,FALSE))&amp;"-"&amp;A67</f>
        <v>00853-UPS-COR-11</v>
      </c>
      <c r="K67" s="141">
        <f t="shared" si="1"/>
        <v>4</v>
      </c>
    </row>
    <row r="68" spans="1:19" ht="14.5" thickBot="1" x14ac:dyDescent="0.4">
      <c r="A68" s="152">
        <v>11</v>
      </c>
      <c r="B68" s="52" t="str">
        <f t="shared" si="2"/>
        <v>CORE</v>
      </c>
      <c r="C68" s="52" t="s">
        <v>271</v>
      </c>
      <c r="D68" s="176" t="s">
        <v>394</v>
      </c>
      <c r="E68" s="177" t="s">
        <v>398</v>
      </c>
      <c r="F68" s="52" t="s">
        <v>78</v>
      </c>
      <c r="G68" s="50" t="str">
        <f>VLOOKUP(F:F,'Model-Vendor'!A:B,2,FALSE)</f>
        <v>ELNBY-SAFE-WA</v>
      </c>
      <c r="H68" s="50" t="str">
        <f>VLOOKUP(F:F,'Model-Vendor'!A:C,3,FALSE)</f>
        <v>ELLENBY</v>
      </c>
      <c r="I68" s="50" t="s">
        <v>150</v>
      </c>
      <c r="J68" s="133" t="str">
        <f>CONCATENATE(TEXT($B$3,"00000"))&amp;"-"&amp;(VLOOKUP(I:I,'Location Legend'!A:B,2,FALSE))&amp;"-"&amp;(VLOOKUP(B:B,'Location Legend'!A:B,2,FALSE))&amp;"-"&amp;A68</f>
        <v>00853-SAF-COR-11</v>
      </c>
      <c r="K68" s="143">
        <f t="shared" si="1"/>
        <v>4</v>
      </c>
      <c r="R68" s="268"/>
      <c r="S68" s="268"/>
    </row>
    <row r="69" spans="1:19" x14ac:dyDescent="0.35">
      <c r="A69" s="153">
        <v>12</v>
      </c>
      <c r="B69" s="165" t="s">
        <v>182</v>
      </c>
      <c r="C69" s="45" t="s">
        <v>271</v>
      </c>
      <c r="D69" s="90" t="s">
        <v>401</v>
      </c>
      <c r="E69" s="70" t="s">
        <v>403</v>
      </c>
      <c r="F69" s="65" t="s">
        <v>239</v>
      </c>
      <c r="G69" s="44" t="str">
        <f>VLOOKUP(F:F,'Model-Vendor'!A:B,2,FALSE)</f>
        <v>4852-E66-WA</v>
      </c>
      <c r="H69" s="44" t="str">
        <f>VLOOKUP(F:F,'Model-Vendor'!A:C,3,FALSE)</f>
        <v>IBM</v>
      </c>
      <c r="I69" s="44" t="s">
        <v>146</v>
      </c>
      <c r="J69" s="132" t="str">
        <f>CONCATENATE(TEXT($B$3,"00000"))&amp;"-"&amp;(VLOOKUP(I:I,'Location Legend'!A:B,2,FALSE))&amp;"-"&amp;(VLOOKUP(B:B,'Location Legend'!A:B,2,FALSE))&amp;"-"&amp;A69</f>
        <v>00853-REG-COR-12</v>
      </c>
      <c r="K69" s="141">
        <f t="shared" si="1"/>
        <v>4</v>
      </c>
    </row>
    <row r="70" spans="1:19" x14ac:dyDescent="0.35">
      <c r="A70" s="107">
        <v>12</v>
      </c>
      <c r="B70" s="49" t="str">
        <f>B69</f>
        <v>CORE</v>
      </c>
      <c r="C70" s="49" t="s">
        <v>271</v>
      </c>
      <c r="D70" s="89" t="s">
        <v>408</v>
      </c>
      <c r="E70" s="67" t="s">
        <v>404</v>
      </c>
      <c r="F70" s="49" t="s">
        <v>47</v>
      </c>
      <c r="G70" s="48" t="str">
        <f>VLOOKUP(F:F,'Model-Vendor'!A:B,2,FALSE)</f>
        <v>IBM-4610-1NR-WA</v>
      </c>
      <c r="H70" s="48" t="str">
        <f>VLOOKUP(F:F,'Model-Vendor'!A:C,3,FALSE)</f>
        <v>IBM</v>
      </c>
      <c r="I70" s="48" t="s">
        <v>145</v>
      </c>
      <c r="J70" s="106" t="str">
        <f>CONCATENATE(TEXT($B$3,"00000"))&amp;"-"&amp;(VLOOKUP(I:I,'Location Legend'!A:B,2,FALSE))&amp;"-"&amp;(VLOOKUP(B:B,'Location Legend'!A:B,2,FALSE))&amp;"-"&amp;A70</f>
        <v>00853-PRT-COR-12</v>
      </c>
      <c r="K70" s="141">
        <f t="shared" si="1"/>
        <v>4</v>
      </c>
    </row>
    <row r="71" spans="1:19" x14ac:dyDescent="0.35">
      <c r="A71" s="107">
        <v>12</v>
      </c>
      <c r="B71" s="49" t="str">
        <f t="shared" ref="B71:B74" si="3">B70</f>
        <v>CORE</v>
      </c>
      <c r="C71" s="49" t="s">
        <v>271</v>
      </c>
      <c r="D71" s="89" t="s">
        <v>416</v>
      </c>
      <c r="E71" s="67" t="s">
        <v>436</v>
      </c>
      <c r="F71" s="49" t="s">
        <v>237</v>
      </c>
      <c r="G71" s="48" t="str">
        <f>VLOOKUP(F:F,'Model-Vendor'!A:B,2,FALSE)</f>
        <v>010368-411E-WA</v>
      </c>
      <c r="H71" s="48" t="str">
        <f>VLOOKUP(F:F,'Model-Vendor'!A:C,3,FALSE)</f>
        <v>EQUINOX</v>
      </c>
      <c r="I71" s="48" t="s">
        <v>142</v>
      </c>
      <c r="J71" s="106" t="str">
        <f>CONCATENATE(TEXT($B$3,"00000"))&amp;"-"&amp;(VLOOKUP(I:I,'Location Legend'!A:B,2,FALSE))&amp;"-"&amp;(VLOOKUP(B:B,'Location Legend'!A:B,2,FALSE))&amp;"-"&amp;A71</f>
        <v>00853-PIN-COR-12</v>
      </c>
      <c r="K71" s="141">
        <f t="shared" si="1"/>
        <v>4</v>
      </c>
    </row>
    <row r="72" spans="1:19" x14ac:dyDescent="0.35">
      <c r="A72" s="107">
        <v>12</v>
      </c>
      <c r="B72" s="49" t="str">
        <f t="shared" si="3"/>
        <v>CORE</v>
      </c>
      <c r="C72" s="49" t="s">
        <v>271</v>
      </c>
      <c r="D72" s="89" t="s">
        <v>417</v>
      </c>
      <c r="E72" s="67" t="s">
        <v>428</v>
      </c>
      <c r="F72" s="6" t="s">
        <v>229</v>
      </c>
      <c r="G72" s="48" t="str">
        <f>VLOOKUP(F:F,'Model-Vendor'!A:B,2,FALSE)</f>
        <v>DS9808-WA</v>
      </c>
      <c r="H72" s="48" t="str">
        <f>VLOOKUP(F:F,'Model-Vendor'!A:C,3,FALSE)</f>
        <v>ZEBRA</v>
      </c>
      <c r="I72" s="48" t="s">
        <v>122</v>
      </c>
      <c r="J72" s="106" t="str">
        <f>CONCATENATE(TEXT($B$3,"00000"))&amp;"-"&amp;(VLOOKUP(I:I,'Location Legend'!A:B,2,FALSE))&amp;"-"&amp;(VLOOKUP(B:B,'Location Legend'!A:B,2,FALSE))&amp;"-"&amp;A72</f>
        <v>00853-HHS-COR-12</v>
      </c>
      <c r="K72" s="141">
        <f t="shared" si="1"/>
        <v>4</v>
      </c>
    </row>
    <row r="73" spans="1:19" x14ac:dyDescent="0.35">
      <c r="A73" s="107">
        <v>12</v>
      </c>
      <c r="B73" s="49" t="str">
        <f t="shared" si="3"/>
        <v>CORE</v>
      </c>
      <c r="C73" s="49" t="s">
        <v>271</v>
      </c>
      <c r="D73" s="89" t="s">
        <v>418</v>
      </c>
      <c r="E73" s="67" t="s">
        <v>429</v>
      </c>
      <c r="F73" s="49" t="s">
        <v>225</v>
      </c>
      <c r="G73" s="48" t="str">
        <f>VLOOKUP(F:F,'Model-Vendor'!A:B,2,FALSE)</f>
        <v>7K7LBCUW8K4A-WA</v>
      </c>
      <c r="H73" s="48" t="str">
        <f>VLOOKUP(F:F,'Model-Vendor'!A:C,3,FALSE)</f>
        <v>TELEQUIP</v>
      </c>
      <c r="I73" s="48" t="s">
        <v>114</v>
      </c>
      <c r="J73" s="106" t="str">
        <f>CONCATENATE(TEXT($B$3,"00000"))&amp;"-"&amp;(VLOOKUP(I:I,'Location Legend'!A:B,2,FALSE))&amp;"-"&amp;(VLOOKUP(B:B,'Location Legend'!A:B,2,FALSE))&amp;"-"&amp;A73</f>
        <v>00853-COI-COR-12</v>
      </c>
      <c r="K73" s="142">
        <v>4</v>
      </c>
    </row>
    <row r="74" spans="1:19" x14ac:dyDescent="0.35">
      <c r="A74" s="107">
        <v>12</v>
      </c>
      <c r="B74" s="49" t="str">
        <f t="shared" si="3"/>
        <v>CORE</v>
      </c>
      <c r="C74" s="49" t="s">
        <v>271</v>
      </c>
      <c r="D74" s="89"/>
      <c r="E74" s="67"/>
      <c r="F74" s="43"/>
      <c r="G74" s="48" t="e">
        <f>VLOOKUP(F:F,'Model-Vendor'!A:B,2,FALSE)</f>
        <v>#N/A</v>
      </c>
      <c r="H74" s="48" t="e">
        <f>VLOOKUP(F:F,'Model-Vendor'!A:C,3,FALSE)</f>
        <v>#N/A</v>
      </c>
      <c r="I74" s="48" t="s">
        <v>167</v>
      </c>
      <c r="J74" s="106" t="str">
        <f>CONCATENATE(TEXT($B$3,"00000"))&amp;"-"&amp;(VLOOKUP(I:I,'Location Legend'!A:B,2,FALSE))&amp;"-"&amp;(VLOOKUP(B:B,'Location Legend'!A:B,2,FALSE))&amp;"-"&amp;A74</f>
        <v>00853-UPS-COR-12</v>
      </c>
      <c r="K74" s="141">
        <f t="shared" si="1"/>
        <v>4</v>
      </c>
    </row>
    <row r="75" spans="1:19" ht="14.5" thickBot="1" x14ac:dyDescent="0.4">
      <c r="A75" s="152">
        <v>12</v>
      </c>
      <c r="B75" s="52" t="s">
        <v>182</v>
      </c>
      <c r="C75" s="52" t="s">
        <v>271</v>
      </c>
      <c r="D75" s="176" t="s">
        <v>395</v>
      </c>
      <c r="E75" s="177" t="s">
        <v>395</v>
      </c>
      <c r="F75" s="52" t="s">
        <v>78</v>
      </c>
      <c r="G75" s="50" t="str">
        <f>VLOOKUP(F:F,'Model-Vendor'!A:B,2,FALSE)</f>
        <v>ELNBY-SAFE-WA</v>
      </c>
      <c r="H75" s="50" t="str">
        <f>VLOOKUP(F:F,'Model-Vendor'!A:C,3,FALSE)</f>
        <v>ELLENBY</v>
      </c>
      <c r="I75" s="50" t="s">
        <v>150</v>
      </c>
      <c r="J75" s="133" t="str">
        <f>CONCATENATE(TEXT($B$3,"00000"))&amp;"-"&amp;(VLOOKUP(I:I,'Location Legend'!A:B,2,FALSE))&amp;"-"&amp;(VLOOKUP(B:B,'Location Legend'!A:B,2,FALSE))&amp;"-"&amp;A75</f>
        <v>00853-SAF-COR-12</v>
      </c>
      <c r="K75" s="143">
        <f t="shared" si="1"/>
        <v>4</v>
      </c>
    </row>
    <row r="76" spans="1:19" x14ac:dyDescent="0.35">
      <c r="A76" s="153">
        <v>13</v>
      </c>
      <c r="B76" s="165" t="s">
        <v>182</v>
      </c>
      <c r="C76" s="45" t="s">
        <v>271</v>
      </c>
      <c r="D76" s="90" t="s">
        <v>402</v>
      </c>
      <c r="E76" s="70" t="s">
        <v>405</v>
      </c>
      <c r="F76" s="65" t="s">
        <v>239</v>
      </c>
      <c r="G76" s="44" t="str">
        <f>VLOOKUP(F:F,'Model-Vendor'!A:B,2,FALSE)</f>
        <v>4852-E66-WA</v>
      </c>
      <c r="H76" s="44" t="str">
        <f>VLOOKUP(F:F,'Model-Vendor'!A:C,3,FALSE)</f>
        <v>IBM</v>
      </c>
      <c r="I76" s="44" t="s">
        <v>146</v>
      </c>
      <c r="J76" s="132" t="str">
        <f>CONCATENATE(TEXT($B$3,"00000"))&amp;"-"&amp;(VLOOKUP(I:I,'Location Legend'!A:B,2,FALSE))&amp;"-"&amp;(VLOOKUP(B:B,'Location Legend'!A:B,2,FALSE))&amp;"-"&amp;A76</f>
        <v>00853-REG-COR-13</v>
      </c>
      <c r="K76" s="141">
        <f t="shared" si="1"/>
        <v>4</v>
      </c>
    </row>
    <row r="77" spans="1:19" x14ac:dyDescent="0.35">
      <c r="A77" s="107">
        <v>13</v>
      </c>
      <c r="B77" s="49" t="str">
        <f>B76</f>
        <v>CORE</v>
      </c>
      <c r="C77" s="49" t="s">
        <v>271</v>
      </c>
      <c r="D77" s="89" t="s">
        <v>407</v>
      </c>
      <c r="E77" s="67" t="s">
        <v>406</v>
      </c>
      <c r="F77" s="49" t="s">
        <v>47</v>
      </c>
      <c r="G77" s="48" t="str">
        <f>VLOOKUP(F:F,'Model-Vendor'!A:B,2,FALSE)</f>
        <v>IBM-4610-1NR-WA</v>
      </c>
      <c r="H77" s="48" t="str">
        <f>VLOOKUP(F:F,'Model-Vendor'!A:C,3,FALSE)</f>
        <v>IBM</v>
      </c>
      <c r="I77" s="48" t="s">
        <v>145</v>
      </c>
      <c r="J77" s="106" t="str">
        <f>CONCATENATE(TEXT($B$3,"00000"))&amp;"-"&amp;(VLOOKUP(I:I,'Location Legend'!A:B,2,FALSE))&amp;"-"&amp;(VLOOKUP(B:B,'Location Legend'!A:B,2,FALSE))&amp;"-"&amp;A77</f>
        <v>00853-PRT-COR-13</v>
      </c>
      <c r="K77" s="141">
        <f t="shared" si="1"/>
        <v>4</v>
      </c>
    </row>
    <row r="78" spans="1:19" x14ac:dyDescent="0.35">
      <c r="A78" s="107">
        <v>13</v>
      </c>
      <c r="B78" s="49" t="str">
        <f t="shared" ref="B78:B82" si="4">B77</f>
        <v>CORE</v>
      </c>
      <c r="C78" s="49" t="s">
        <v>271</v>
      </c>
      <c r="D78" s="89" t="s">
        <v>419</v>
      </c>
      <c r="E78" s="67" t="s">
        <v>430</v>
      </c>
      <c r="F78" s="49" t="s">
        <v>237</v>
      </c>
      <c r="G78" s="48" t="str">
        <f>VLOOKUP(F:F,'Model-Vendor'!A:B,2,FALSE)</f>
        <v>010368-411E-WA</v>
      </c>
      <c r="H78" s="48" t="str">
        <f>VLOOKUP(F:F,'Model-Vendor'!A:C,3,FALSE)</f>
        <v>EQUINOX</v>
      </c>
      <c r="I78" s="48" t="s">
        <v>142</v>
      </c>
      <c r="J78" s="106" t="str">
        <f>CONCATENATE(TEXT($B$3,"00000"))&amp;"-"&amp;(VLOOKUP(I:I,'Location Legend'!A:B,2,FALSE))&amp;"-"&amp;(VLOOKUP(B:B,'Location Legend'!A:B,2,FALSE))&amp;"-"&amp;A78</f>
        <v>00853-PIN-COR-13</v>
      </c>
      <c r="K78" s="141">
        <f t="shared" si="1"/>
        <v>4</v>
      </c>
    </row>
    <row r="79" spans="1:19" x14ac:dyDescent="0.35">
      <c r="A79" s="107">
        <v>13</v>
      </c>
      <c r="B79" s="49" t="str">
        <f t="shared" si="4"/>
        <v>CORE</v>
      </c>
      <c r="C79" s="49" t="s">
        <v>271</v>
      </c>
      <c r="D79" s="89" t="s">
        <v>420</v>
      </c>
      <c r="E79" s="67" t="s">
        <v>431</v>
      </c>
      <c r="F79" s="6" t="s">
        <v>229</v>
      </c>
      <c r="G79" s="48" t="str">
        <f>VLOOKUP(F:F,'Model-Vendor'!A:B,2,FALSE)</f>
        <v>DS9808-WA</v>
      </c>
      <c r="H79" s="48" t="str">
        <f>VLOOKUP(F:F,'Model-Vendor'!A:C,3,FALSE)</f>
        <v>ZEBRA</v>
      </c>
      <c r="I79" s="48" t="s">
        <v>122</v>
      </c>
      <c r="J79" s="106" t="str">
        <f>CONCATENATE(TEXT($B$3,"00000"))&amp;"-"&amp;(VLOOKUP(I:I,'Location Legend'!A:B,2,FALSE))&amp;"-"&amp;(VLOOKUP(B:B,'Location Legend'!A:B,2,FALSE))&amp;"-"&amp;A79</f>
        <v>00853-HHS-COR-13</v>
      </c>
      <c r="K79" s="141">
        <f t="shared" si="1"/>
        <v>4</v>
      </c>
    </row>
    <row r="80" spans="1:19" x14ac:dyDescent="0.35">
      <c r="A80" s="107">
        <v>13</v>
      </c>
      <c r="B80" s="49" t="str">
        <f t="shared" si="4"/>
        <v>CORE</v>
      </c>
      <c r="C80" s="49" t="s">
        <v>271</v>
      </c>
      <c r="D80" s="89" t="s">
        <v>421</v>
      </c>
      <c r="E80" s="67" t="s">
        <v>432</v>
      </c>
      <c r="F80" s="49" t="s">
        <v>225</v>
      </c>
      <c r="G80" s="48" t="str">
        <f>VLOOKUP(F:F,'Model-Vendor'!A:B,2,FALSE)</f>
        <v>7K7LBCUW8K4A-WA</v>
      </c>
      <c r="H80" s="48" t="str">
        <f>VLOOKUP(F:F,'Model-Vendor'!A:C,3,FALSE)</f>
        <v>TELEQUIP</v>
      </c>
      <c r="I80" s="48" t="s">
        <v>114</v>
      </c>
      <c r="J80" s="106" t="str">
        <f>CONCATENATE(TEXT($B$3,"00000"))&amp;"-"&amp;(VLOOKUP(I:I,'Location Legend'!A:B,2,FALSE))&amp;"-"&amp;(VLOOKUP(B:B,'Location Legend'!A:B,2,FALSE))&amp;"-"&amp;A80</f>
        <v>00853-COI-COR-13</v>
      </c>
      <c r="K80" s="142">
        <v>4</v>
      </c>
    </row>
    <row r="81" spans="1:11" x14ac:dyDescent="0.35">
      <c r="A81" s="107">
        <v>13</v>
      </c>
      <c r="B81" s="49" t="str">
        <f t="shared" si="4"/>
        <v>CORE</v>
      </c>
      <c r="C81" s="49" t="s">
        <v>271</v>
      </c>
      <c r="D81" s="89"/>
      <c r="E81" s="67"/>
      <c r="F81" s="43"/>
      <c r="G81" s="48" t="e">
        <f>VLOOKUP(F:F,'Model-Vendor'!A:B,2,FALSE)</f>
        <v>#N/A</v>
      </c>
      <c r="H81" s="48" t="e">
        <f>VLOOKUP(F:F,'Model-Vendor'!A:C,3,FALSE)</f>
        <v>#N/A</v>
      </c>
      <c r="I81" s="48" t="s">
        <v>167</v>
      </c>
      <c r="J81" s="106" t="str">
        <f>CONCATENATE(TEXT($B$3,"00000"))&amp;"-"&amp;(VLOOKUP(I:I,'Location Legend'!A:B,2,FALSE))&amp;"-"&amp;(VLOOKUP(B:B,'Location Legend'!A:B,2,FALSE))&amp;"-"&amp;A81</f>
        <v>00853-UPS-COR-13</v>
      </c>
      <c r="K81" s="141">
        <f t="shared" si="1"/>
        <v>4</v>
      </c>
    </row>
    <row r="82" spans="1:11" ht="14.5" thickBot="1" x14ac:dyDescent="0.4">
      <c r="A82" s="152">
        <v>13</v>
      </c>
      <c r="B82" s="52" t="str">
        <f t="shared" si="4"/>
        <v>CORE</v>
      </c>
      <c r="C82" s="52" t="s">
        <v>271</v>
      </c>
      <c r="D82" s="176" t="s">
        <v>396</v>
      </c>
      <c r="E82" s="177" t="s">
        <v>399</v>
      </c>
      <c r="F82" s="52" t="s">
        <v>78</v>
      </c>
      <c r="G82" s="50" t="str">
        <f>VLOOKUP(F:F,'Model-Vendor'!A:B,2,FALSE)</f>
        <v>ELNBY-SAFE-WA</v>
      </c>
      <c r="H82" s="50" t="str">
        <f>VLOOKUP(F:F,'Model-Vendor'!A:C,3,FALSE)</f>
        <v>ELLENBY</v>
      </c>
      <c r="I82" s="50" t="s">
        <v>150</v>
      </c>
      <c r="J82" s="133" t="str">
        <f>CONCATENATE(TEXT($B$3,"00000"))&amp;"-"&amp;(VLOOKUP(I:I,'Location Legend'!A:B,2,FALSE))&amp;"-"&amp;(VLOOKUP(B:B,'Location Legend'!A:B,2,FALSE))&amp;"-"&amp;A82</f>
        <v>00853-SAF-COR-13</v>
      </c>
      <c r="K82" s="143">
        <f t="shared" si="1"/>
        <v>4</v>
      </c>
    </row>
    <row r="83" spans="1:11" x14ac:dyDescent="0.35">
      <c r="A83" s="153">
        <v>14</v>
      </c>
      <c r="B83" s="165" t="s">
        <v>182</v>
      </c>
      <c r="C83" s="45" t="s">
        <v>271</v>
      </c>
      <c r="D83" s="90" t="s">
        <v>409</v>
      </c>
      <c r="E83" s="70" t="s">
        <v>411</v>
      </c>
      <c r="F83" s="65" t="s">
        <v>239</v>
      </c>
      <c r="G83" s="44" t="str">
        <f>VLOOKUP(F:F,'Model-Vendor'!A:B,2,FALSE)</f>
        <v>4852-E66-WA</v>
      </c>
      <c r="H83" s="44" t="str">
        <f>VLOOKUP(F:F,'Model-Vendor'!A:C,3,FALSE)</f>
        <v>IBM</v>
      </c>
      <c r="I83" s="44" t="s">
        <v>146</v>
      </c>
      <c r="J83" s="132" t="str">
        <f>CONCATENATE(TEXT($B$3,"00000"))&amp;"-"&amp;(VLOOKUP(I:I,'Location Legend'!A:B,2,FALSE))&amp;"-"&amp;(VLOOKUP(B:B,'Location Legend'!A:B,2,FALSE))&amp;"-"&amp;A83</f>
        <v>00853-REG-COR-14</v>
      </c>
      <c r="K83" s="141">
        <f t="shared" si="1"/>
        <v>4</v>
      </c>
    </row>
    <row r="84" spans="1:11" x14ac:dyDescent="0.35">
      <c r="A84" s="107">
        <v>14</v>
      </c>
      <c r="B84" s="49" t="str">
        <f>B83</f>
        <v>CORE</v>
      </c>
      <c r="C84" s="49" t="s">
        <v>271</v>
      </c>
      <c r="D84" s="89" t="s">
        <v>410</v>
      </c>
      <c r="E84" s="67" t="s">
        <v>412</v>
      </c>
      <c r="F84" s="49" t="s">
        <v>47</v>
      </c>
      <c r="G84" s="48" t="str">
        <f>VLOOKUP(F:F,'Model-Vendor'!A:B,2,FALSE)</f>
        <v>IBM-4610-1NR-WA</v>
      </c>
      <c r="H84" s="48" t="str">
        <f>VLOOKUP(F:F,'Model-Vendor'!A:C,3,FALSE)</f>
        <v>IBM</v>
      </c>
      <c r="I84" s="48" t="s">
        <v>145</v>
      </c>
      <c r="J84" s="106" t="str">
        <f>CONCATENATE(TEXT($B$3,"00000"))&amp;"-"&amp;(VLOOKUP(I:I,'Location Legend'!A:B,2,FALSE))&amp;"-"&amp;(VLOOKUP(B:B,'Location Legend'!A:B,2,FALSE))&amp;"-"&amp;A84</f>
        <v>00853-PRT-COR-14</v>
      </c>
      <c r="K84" s="141">
        <f t="shared" si="1"/>
        <v>4</v>
      </c>
    </row>
    <row r="85" spans="1:11" x14ac:dyDescent="0.35">
      <c r="A85" s="107">
        <v>14</v>
      </c>
      <c r="B85" s="49" t="str">
        <f t="shared" ref="B85:B89" si="5">B84</f>
        <v>CORE</v>
      </c>
      <c r="C85" s="49" t="s">
        <v>271</v>
      </c>
      <c r="D85" s="89" t="s">
        <v>422</v>
      </c>
      <c r="E85" s="67" t="s">
        <v>433</v>
      </c>
      <c r="F85" s="49" t="s">
        <v>237</v>
      </c>
      <c r="G85" s="48" t="str">
        <f>VLOOKUP(F:F,'Model-Vendor'!A:B,2,FALSE)</f>
        <v>010368-411E-WA</v>
      </c>
      <c r="H85" s="48" t="str">
        <f>VLOOKUP(F:F,'Model-Vendor'!A:C,3,FALSE)</f>
        <v>EQUINOX</v>
      </c>
      <c r="I85" s="48" t="s">
        <v>142</v>
      </c>
      <c r="J85" s="106" t="str">
        <f>CONCATENATE(TEXT($B$3,"00000"))&amp;"-"&amp;(VLOOKUP(I:I,'Location Legend'!A:B,2,FALSE))&amp;"-"&amp;(VLOOKUP(B:B,'Location Legend'!A:B,2,FALSE))&amp;"-"&amp;A85</f>
        <v>00853-PIN-COR-14</v>
      </c>
      <c r="K85" s="141">
        <f t="shared" si="1"/>
        <v>4</v>
      </c>
    </row>
    <row r="86" spans="1:11" x14ac:dyDescent="0.35">
      <c r="A86" s="107">
        <v>14</v>
      </c>
      <c r="B86" s="49" t="str">
        <f t="shared" si="5"/>
        <v>CORE</v>
      </c>
      <c r="C86" s="49" t="s">
        <v>271</v>
      </c>
      <c r="D86" s="89" t="s">
        <v>423</v>
      </c>
      <c r="E86" s="67" t="s">
        <v>434</v>
      </c>
      <c r="F86" s="6" t="s">
        <v>229</v>
      </c>
      <c r="G86" s="48" t="str">
        <f>VLOOKUP(F:F,'Model-Vendor'!A:B,2,FALSE)</f>
        <v>DS9808-WA</v>
      </c>
      <c r="H86" s="48" t="str">
        <f>VLOOKUP(F:F,'Model-Vendor'!A:C,3,FALSE)</f>
        <v>ZEBRA</v>
      </c>
      <c r="I86" s="48" t="s">
        <v>122</v>
      </c>
      <c r="J86" s="106" t="str">
        <f>CONCATENATE(TEXT($B$3,"00000"))&amp;"-"&amp;(VLOOKUP(I:I,'Location Legend'!A:B,2,FALSE))&amp;"-"&amp;(VLOOKUP(B:B,'Location Legend'!A:B,2,FALSE))&amp;"-"&amp;A86</f>
        <v>00853-HHS-COR-14</v>
      </c>
      <c r="K86" s="141">
        <f t="shared" si="1"/>
        <v>4</v>
      </c>
    </row>
    <row r="87" spans="1:11" x14ac:dyDescent="0.35">
      <c r="A87" s="107">
        <v>14</v>
      </c>
      <c r="B87" s="49" t="str">
        <f t="shared" si="5"/>
        <v>CORE</v>
      </c>
      <c r="C87" s="49" t="s">
        <v>271</v>
      </c>
      <c r="D87" s="89" t="s">
        <v>424</v>
      </c>
      <c r="E87" s="67" t="s">
        <v>435</v>
      </c>
      <c r="F87" s="49" t="s">
        <v>225</v>
      </c>
      <c r="G87" s="48" t="str">
        <f>VLOOKUP(F:F,'Model-Vendor'!A:B,2,FALSE)</f>
        <v>7K7LBCUW8K4A-WA</v>
      </c>
      <c r="H87" s="48" t="str">
        <f>VLOOKUP(F:F,'Model-Vendor'!A:C,3,FALSE)</f>
        <v>TELEQUIP</v>
      </c>
      <c r="I87" s="48" t="s">
        <v>114</v>
      </c>
      <c r="J87" s="106" t="str">
        <f>CONCATENATE(TEXT($B$3,"00000"))&amp;"-"&amp;(VLOOKUP(I:I,'Location Legend'!A:B,2,FALSE))&amp;"-"&amp;(VLOOKUP(B:B,'Location Legend'!A:B,2,FALSE))&amp;"-"&amp;A87</f>
        <v>00853-COI-COR-14</v>
      </c>
      <c r="K87" s="142">
        <v>4</v>
      </c>
    </row>
    <row r="88" spans="1:11" x14ac:dyDescent="0.35">
      <c r="A88" s="107">
        <v>14</v>
      </c>
      <c r="B88" s="49" t="str">
        <f t="shared" si="5"/>
        <v>CORE</v>
      </c>
      <c r="C88" s="49" t="s">
        <v>271</v>
      </c>
      <c r="D88" s="89"/>
      <c r="E88" s="67"/>
      <c r="F88" s="43"/>
      <c r="G88" s="48" t="e">
        <f>VLOOKUP(F:F,'Model-Vendor'!A:B,2,FALSE)</f>
        <v>#N/A</v>
      </c>
      <c r="H88" s="48" t="e">
        <f>VLOOKUP(F:F,'Model-Vendor'!A:C,3,FALSE)</f>
        <v>#N/A</v>
      </c>
      <c r="I88" s="48" t="s">
        <v>167</v>
      </c>
      <c r="J88" s="106" t="str">
        <f>CONCATENATE(TEXT($B$3,"00000"))&amp;"-"&amp;(VLOOKUP(I:I,'Location Legend'!A:B,2,FALSE))&amp;"-"&amp;(VLOOKUP(B:B,'Location Legend'!A:B,2,FALSE))&amp;"-"&amp;A88</f>
        <v>00853-UPS-COR-14</v>
      </c>
      <c r="K88" s="141">
        <f t="shared" si="1"/>
        <v>4</v>
      </c>
    </row>
    <row r="89" spans="1:11" ht="14.5" thickBot="1" x14ac:dyDescent="0.4">
      <c r="A89" s="152">
        <v>14</v>
      </c>
      <c r="B89" s="52" t="str">
        <f t="shared" si="5"/>
        <v>CORE</v>
      </c>
      <c r="C89" s="52" t="s">
        <v>271</v>
      </c>
      <c r="D89" s="176" t="s">
        <v>397</v>
      </c>
      <c r="E89" s="177" t="s">
        <v>400</v>
      </c>
      <c r="F89" s="52" t="s">
        <v>78</v>
      </c>
      <c r="G89" s="50" t="str">
        <f>VLOOKUP(F:F,'Model-Vendor'!A:B,2,FALSE)</f>
        <v>ELNBY-SAFE-WA</v>
      </c>
      <c r="H89" s="50" t="str">
        <f>VLOOKUP(F:F,'Model-Vendor'!A:C,3,FALSE)</f>
        <v>ELLENBY</v>
      </c>
      <c r="I89" s="50" t="s">
        <v>150</v>
      </c>
      <c r="J89" s="133" t="str">
        <f>CONCATENATE(TEXT($B$3,"00000"))&amp;"-"&amp;(VLOOKUP(I:I,'Location Legend'!A:B,2,FALSE))&amp;"-"&amp;(VLOOKUP(B:B,'Location Legend'!A:B,2,FALSE))&amp;"-"&amp;A89</f>
        <v>00853-SAF-COR-14</v>
      </c>
      <c r="K89" s="143">
        <f t="shared" si="1"/>
        <v>4</v>
      </c>
    </row>
    <row r="90" spans="1:11" x14ac:dyDescent="0.35">
      <c r="A90" s="153">
        <v>15</v>
      </c>
      <c r="B90" s="165"/>
      <c r="C90" s="45" t="s">
        <v>271</v>
      </c>
      <c r="D90" s="90"/>
      <c r="E90" s="70"/>
      <c r="F90" s="65"/>
      <c r="G90" s="44" t="e">
        <f>VLOOKUP(F:F,'Model-Vendor'!A:B,2,FALSE)</f>
        <v>#N/A</v>
      </c>
      <c r="H90" s="44" t="e">
        <f>VLOOKUP(F:F,'Model-Vendor'!A:C,3,FALSE)</f>
        <v>#N/A</v>
      </c>
      <c r="I90" s="44" t="s">
        <v>146</v>
      </c>
      <c r="J90" s="132" t="e">
        <f>CONCATENATE(TEXT($B$3,"00000"))&amp;"-"&amp;(VLOOKUP(I:I,'Location Legend'!A:B,2,FALSE))&amp;"-"&amp;(VLOOKUP(B:B,'Location Legend'!A:B,2,FALSE))&amp;"-"&amp;A90</f>
        <v>#N/A</v>
      </c>
      <c r="K90" s="141">
        <f t="shared" si="1"/>
        <v>4</v>
      </c>
    </row>
    <row r="91" spans="1:11" x14ac:dyDescent="0.35">
      <c r="A91" s="107">
        <v>15</v>
      </c>
      <c r="B91" s="49">
        <f>B90</f>
        <v>0</v>
      </c>
      <c r="C91" s="49" t="s">
        <v>271</v>
      </c>
      <c r="D91" s="89"/>
      <c r="E91" s="67"/>
      <c r="F91" s="49" t="s">
        <v>47</v>
      </c>
      <c r="G91" s="48" t="str">
        <f>VLOOKUP(F:F,'Model-Vendor'!A:B,2,FALSE)</f>
        <v>IBM-4610-1NR-WA</v>
      </c>
      <c r="H91" s="48" t="str">
        <f>VLOOKUP(F:F,'Model-Vendor'!A:C,3,FALSE)</f>
        <v>IBM</v>
      </c>
      <c r="I91" s="48" t="s">
        <v>145</v>
      </c>
      <c r="J91" s="106" t="e">
        <f>CONCATENATE(TEXT($B$3,"00000"))&amp;"-"&amp;(VLOOKUP(I:I,'Location Legend'!A:B,2,FALSE))&amp;"-"&amp;(VLOOKUP(B:B,'Location Legend'!A:B,2,FALSE))&amp;"-"&amp;A91</f>
        <v>#N/A</v>
      </c>
      <c r="K91" s="141">
        <f t="shared" si="1"/>
        <v>4</v>
      </c>
    </row>
    <row r="92" spans="1:11" x14ac:dyDescent="0.35">
      <c r="A92" s="107">
        <v>15</v>
      </c>
      <c r="B92" s="49">
        <f t="shared" ref="B92:B96" si="6">B91</f>
        <v>0</v>
      </c>
      <c r="C92" s="49" t="s">
        <v>271</v>
      </c>
      <c r="D92" s="89"/>
      <c r="E92" s="67"/>
      <c r="F92" s="49" t="s">
        <v>237</v>
      </c>
      <c r="G92" s="48" t="str">
        <f>VLOOKUP(F:F,'Model-Vendor'!A:B,2,FALSE)</f>
        <v>010368-411E-WA</v>
      </c>
      <c r="H92" s="48" t="str">
        <f>VLOOKUP(F:F,'Model-Vendor'!A:C,3,FALSE)</f>
        <v>EQUINOX</v>
      </c>
      <c r="I92" s="48" t="s">
        <v>142</v>
      </c>
      <c r="J92" s="106" t="e">
        <f>CONCATENATE(TEXT($B$3,"00000"))&amp;"-"&amp;(VLOOKUP(I:I,'Location Legend'!A:B,2,FALSE))&amp;"-"&amp;(VLOOKUP(B:B,'Location Legend'!A:B,2,FALSE))&amp;"-"&amp;A92</f>
        <v>#N/A</v>
      </c>
      <c r="K92" s="141">
        <f t="shared" si="1"/>
        <v>4</v>
      </c>
    </row>
    <row r="93" spans="1:11" x14ac:dyDescent="0.35">
      <c r="A93" s="107">
        <v>15</v>
      </c>
      <c r="B93" s="49">
        <f t="shared" si="6"/>
        <v>0</v>
      </c>
      <c r="C93" s="49" t="s">
        <v>271</v>
      </c>
      <c r="D93" s="89"/>
      <c r="E93" s="67"/>
      <c r="F93" s="6"/>
      <c r="G93" s="48" t="e">
        <f>VLOOKUP(F:F,'Model-Vendor'!A:B,2,FALSE)</f>
        <v>#N/A</v>
      </c>
      <c r="H93" s="48" t="e">
        <f>VLOOKUP(F:F,'Model-Vendor'!A:C,3,FALSE)</f>
        <v>#N/A</v>
      </c>
      <c r="I93" s="48" t="s">
        <v>122</v>
      </c>
      <c r="J93" s="106" t="e">
        <f>CONCATENATE(TEXT($B$3,"00000"))&amp;"-"&amp;(VLOOKUP(I:I,'Location Legend'!A:B,2,FALSE))&amp;"-"&amp;(VLOOKUP(B:B,'Location Legend'!A:B,2,FALSE))&amp;"-"&amp;A93</f>
        <v>#N/A</v>
      </c>
      <c r="K93" s="141">
        <f t="shared" si="1"/>
        <v>4</v>
      </c>
    </row>
    <row r="94" spans="1:11" x14ac:dyDescent="0.35">
      <c r="A94" s="107">
        <v>15</v>
      </c>
      <c r="B94" s="49">
        <f t="shared" si="6"/>
        <v>0</v>
      </c>
      <c r="C94" s="49" t="s">
        <v>271</v>
      </c>
      <c r="D94" s="89"/>
      <c r="E94" s="67"/>
      <c r="F94" s="49" t="s">
        <v>225</v>
      </c>
      <c r="G94" s="48" t="str">
        <f>VLOOKUP(F:F,'Model-Vendor'!A:B,2,FALSE)</f>
        <v>7K7LBCUW8K4A-WA</v>
      </c>
      <c r="H94" s="48" t="str">
        <f>VLOOKUP(F:F,'Model-Vendor'!A:C,3,FALSE)</f>
        <v>TELEQUIP</v>
      </c>
      <c r="I94" s="48" t="s">
        <v>114</v>
      </c>
      <c r="J94" s="106" t="e">
        <f>CONCATENATE(TEXT($B$3,"00000"))&amp;"-"&amp;(VLOOKUP(I:I,'Location Legend'!A:B,2,FALSE))&amp;"-"&amp;(VLOOKUP(B:B,'Location Legend'!A:B,2,FALSE))&amp;"-"&amp;A94</f>
        <v>#N/A</v>
      </c>
      <c r="K94" s="142">
        <v>4</v>
      </c>
    </row>
    <row r="95" spans="1:11" x14ac:dyDescent="0.35">
      <c r="A95" s="107">
        <v>15</v>
      </c>
      <c r="B95" s="49">
        <f t="shared" si="6"/>
        <v>0</v>
      </c>
      <c r="C95" s="49" t="s">
        <v>271</v>
      </c>
      <c r="D95" s="89"/>
      <c r="E95" s="67"/>
      <c r="F95" s="43"/>
      <c r="G95" s="48" t="e">
        <f>VLOOKUP(F:F,'Model-Vendor'!A:B,2,FALSE)</f>
        <v>#N/A</v>
      </c>
      <c r="H95" s="48" t="e">
        <f>VLOOKUP(F:F,'Model-Vendor'!A:C,3,FALSE)</f>
        <v>#N/A</v>
      </c>
      <c r="I95" s="48" t="s">
        <v>167</v>
      </c>
      <c r="J95" s="106" t="e">
        <f>CONCATENATE(TEXT($B$3,"00000"))&amp;"-"&amp;(VLOOKUP(I:I,'Location Legend'!A:B,2,FALSE))&amp;"-"&amp;(VLOOKUP(B:B,'Location Legend'!A:B,2,FALSE))&amp;"-"&amp;A95</f>
        <v>#N/A</v>
      </c>
      <c r="K95" s="141">
        <f t="shared" si="1"/>
        <v>4</v>
      </c>
    </row>
    <row r="96" spans="1:11" ht="14.5" thickBot="1" x14ac:dyDescent="0.4">
      <c r="A96" s="152">
        <v>15</v>
      </c>
      <c r="B96" s="52">
        <f t="shared" si="6"/>
        <v>0</v>
      </c>
      <c r="C96" s="52" t="s">
        <v>271</v>
      </c>
      <c r="D96" s="176"/>
      <c r="E96" s="177"/>
      <c r="F96" s="52" t="s">
        <v>78</v>
      </c>
      <c r="G96" s="50" t="str">
        <f>VLOOKUP(F:F,'Model-Vendor'!A:B,2,FALSE)</f>
        <v>ELNBY-SAFE-WA</v>
      </c>
      <c r="H96" s="50" t="str">
        <f>VLOOKUP(F:F,'Model-Vendor'!A:C,3,FALSE)</f>
        <v>ELLENBY</v>
      </c>
      <c r="I96" s="50" t="s">
        <v>150</v>
      </c>
      <c r="J96" s="133" t="e">
        <f>CONCATENATE(TEXT($B$3,"00000"))&amp;"-"&amp;(VLOOKUP(I:I,'Location Legend'!A:B,2,FALSE))&amp;"-"&amp;(VLOOKUP(B:B,'Location Legend'!A:B,2,FALSE))&amp;"-"&amp;A96</f>
        <v>#N/A</v>
      </c>
      <c r="K96" s="143">
        <f t="shared" si="1"/>
        <v>4</v>
      </c>
    </row>
    <row r="97" spans="1:11" x14ac:dyDescent="0.35">
      <c r="A97" s="153">
        <v>16</v>
      </c>
      <c r="B97" s="165"/>
      <c r="C97" s="45" t="s">
        <v>271</v>
      </c>
      <c r="D97" s="90"/>
      <c r="E97" s="70"/>
      <c r="F97" s="65"/>
      <c r="G97" s="44" t="e">
        <f>VLOOKUP(F:F,'Model-Vendor'!A:B,2,FALSE)</f>
        <v>#N/A</v>
      </c>
      <c r="H97" s="44" t="e">
        <f>VLOOKUP(F:F,'Model-Vendor'!A:C,3,FALSE)</f>
        <v>#N/A</v>
      </c>
      <c r="I97" s="44" t="s">
        <v>146</v>
      </c>
      <c r="J97" s="132" t="e">
        <f>CONCATENATE(TEXT($B$3,"00000"))&amp;"-"&amp;(VLOOKUP(I:I,'Location Legend'!A:B,2,FALSE))&amp;"-"&amp;(VLOOKUP(B:B,'Location Legend'!A:B,2,FALSE))&amp;"-"&amp;A97</f>
        <v>#N/A</v>
      </c>
      <c r="K97" s="141">
        <f t="shared" si="1"/>
        <v>4</v>
      </c>
    </row>
    <row r="98" spans="1:11" x14ac:dyDescent="0.35">
      <c r="A98" s="107">
        <v>16</v>
      </c>
      <c r="B98" s="49">
        <f>B97</f>
        <v>0</v>
      </c>
      <c r="C98" s="49" t="s">
        <v>271</v>
      </c>
      <c r="D98" s="89"/>
      <c r="E98" s="67"/>
      <c r="F98" s="49" t="s">
        <v>47</v>
      </c>
      <c r="G98" s="48" t="str">
        <f>VLOOKUP(F:F,'Model-Vendor'!A:B,2,FALSE)</f>
        <v>IBM-4610-1NR-WA</v>
      </c>
      <c r="H98" s="48" t="str">
        <f>VLOOKUP(F:F,'Model-Vendor'!A:C,3,FALSE)</f>
        <v>IBM</v>
      </c>
      <c r="I98" s="48" t="s">
        <v>145</v>
      </c>
      <c r="J98" s="106" t="e">
        <f>CONCATENATE(TEXT($B$3,"00000"))&amp;"-"&amp;(VLOOKUP(I:I,'Location Legend'!A:B,2,FALSE))&amp;"-"&amp;(VLOOKUP(B:B,'Location Legend'!A:B,2,FALSE))&amp;"-"&amp;A98</f>
        <v>#N/A</v>
      </c>
      <c r="K98" s="141">
        <f t="shared" si="1"/>
        <v>4</v>
      </c>
    </row>
    <row r="99" spans="1:11" x14ac:dyDescent="0.35">
      <c r="A99" s="107">
        <v>16</v>
      </c>
      <c r="B99" s="49">
        <f t="shared" ref="B99:B103" si="7">B98</f>
        <v>0</v>
      </c>
      <c r="C99" s="49" t="s">
        <v>271</v>
      </c>
      <c r="D99" s="89"/>
      <c r="E99" s="67"/>
      <c r="F99" s="49" t="s">
        <v>237</v>
      </c>
      <c r="G99" s="48" t="str">
        <f>VLOOKUP(F:F,'Model-Vendor'!A:B,2,FALSE)</f>
        <v>010368-411E-WA</v>
      </c>
      <c r="H99" s="48" t="str">
        <f>VLOOKUP(F:F,'Model-Vendor'!A:C,3,FALSE)</f>
        <v>EQUINOX</v>
      </c>
      <c r="I99" s="48" t="s">
        <v>142</v>
      </c>
      <c r="J99" s="106" t="e">
        <f>CONCATENATE(TEXT($B$3,"00000"))&amp;"-"&amp;(VLOOKUP(I:I,'Location Legend'!A:B,2,FALSE))&amp;"-"&amp;(VLOOKUP(B:B,'Location Legend'!A:B,2,FALSE))&amp;"-"&amp;A99</f>
        <v>#N/A</v>
      </c>
      <c r="K99" s="141">
        <f t="shared" si="1"/>
        <v>4</v>
      </c>
    </row>
    <row r="100" spans="1:11" x14ac:dyDescent="0.35">
      <c r="A100" s="107">
        <v>16</v>
      </c>
      <c r="B100" s="49">
        <f t="shared" si="7"/>
        <v>0</v>
      </c>
      <c r="C100" s="49" t="s">
        <v>271</v>
      </c>
      <c r="D100" s="89"/>
      <c r="E100" s="67"/>
      <c r="F100" s="6"/>
      <c r="G100" s="48" t="e">
        <f>VLOOKUP(F:F,'Model-Vendor'!A:B,2,FALSE)</f>
        <v>#N/A</v>
      </c>
      <c r="H100" s="48" t="e">
        <f>VLOOKUP(F:F,'Model-Vendor'!A:C,3,FALSE)</f>
        <v>#N/A</v>
      </c>
      <c r="I100" s="48" t="s">
        <v>122</v>
      </c>
      <c r="J100" s="106" t="e">
        <f>CONCATENATE(TEXT($B$3,"00000"))&amp;"-"&amp;(VLOOKUP(I:I,'Location Legend'!A:B,2,FALSE))&amp;"-"&amp;(VLOOKUP(B:B,'Location Legend'!A:B,2,FALSE))&amp;"-"&amp;A100</f>
        <v>#N/A</v>
      </c>
      <c r="K100" s="141">
        <f t="shared" si="1"/>
        <v>4</v>
      </c>
    </row>
    <row r="101" spans="1:11" x14ac:dyDescent="0.35">
      <c r="A101" s="107">
        <v>16</v>
      </c>
      <c r="B101" s="49">
        <f t="shared" si="7"/>
        <v>0</v>
      </c>
      <c r="C101" s="49" t="s">
        <v>271</v>
      </c>
      <c r="D101" s="89"/>
      <c r="E101" s="67"/>
      <c r="F101" s="49" t="s">
        <v>225</v>
      </c>
      <c r="G101" s="48" t="str">
        <f>VLOOKUP(F:F,'Model-Vendor'!A:B,2,FALSE)</f>
        <v>7K7LBCUW8K4A-WA</v>
      </c>
      <c r="H101" s="48" t="str">
        <f>VLOOKUP(F:F,'Model-Vendor'!A:C,3,FALSE)</f>
        <v>TELEQUIP</v>
      </c>
      <c r="I101" s="48" t="s">
        <v>114</v>
      </c>
      <c r="J101" s="106" t="e">
        <f>CONCATENATE(TEXT($B$3,"00000"))&amp;"-"&amp;(VLOOKUP(I:I,'Location Legend'!A:B,2,FALSE))&amp;"-"&amp;(VLOOKUP(B:B,'Location Legend'!A:B,2,FALSE))&amp;"-"&amp;A101</f>
        <v>#N/A</v>
      </c>
      <c r="K101" s="142">
        <v>4</v>
      </c>
    </row>
    <row r="102" spans="1:11" x14ac:dyDescent="0.35">
      <c r="A102" s="107">
        <v>16</v>
      </c>
      <c r="B102" s="49">
        <f t="shared" si="7"/>
        <v>0</v>
      </c>
      <c r="C102" s="49" t="s">
        <v>271</v>
      </c>
      <c r="D102" s="89"/>
      <c r="E102" s="67"/>
      <c r="F102" s="43"/>
      <c r="G102" s="48" t="e">
        <f>VLOOKUP(F:F,'Model-Vendor'!A:B,2,FALSE)</f>
        <v>#N/A</v>
      </c>
      <c r="H102" s="48" t="e">
        <f>VLOOKUP(F:F,'Model-Vendor'!A:C,3,FALSE)</f>
        <v>#N/A</v>
      </c>
      <c r="I102" s="48" t="s">
        <v>167</v>
      </c>
      <c r="J102" s="106" t="e">
        <f>CONCATENATE(TEXT($B$3,"00000"))&amp;"-"&amp;(VLOOKUP(I:I,'Location Legend'!A:B,2,FALSE))&amp;"-"&amp;(VLOOKUP(B:B,'Location Legend'!A:B,2,FALSE))&amp;"-"&amp;A102</f>
        <v>#N/A</v>
      </c>
      <c r="K102" s="141">
        <f t="shared" si="1"/>
        <v>4</v>
      </c>
    </row>
    <row r="103" spans="1:11" ht="14.5" thickBot="1" x14ac:dyDescent="0.4">
      <c r="A103" s="152">
        <v>16</v>
      </c>
      <c r="B103" s="52">
        <f t="shared" si="7"/>
        <v>0</v>
      </c>
      <c r="C103" s="52" t="s">
        <v>271</v>
      </c>
      <c r="D103" s="176"/>
      <c r="E103" s="177"/>
      <c r="F103" s="52" t="s">
        <v>78</v>
      </c>
      <c r="G103" s="50" t="str">
        <f>VLOOKUP(F:F,'Model-Vendor'!A:B,2,FALSE)</f>
        <v>ELNBY-SAFE-WA</v>
      </c>
      <c r="H103" s="50" t="str">
        <f>VLOOKUP(F:F,'Model-Vendor'!A:C,3,FALSE)</f>
        <v>ELLENBY</v>
      </c>
      <c r="I103" s="50" t="s">
        <v>150</v>
      </c>
      <c r="J103" s="133" t="e">
        <f>CONCATENATE(TEXT($B$3,"00000"))&amp;"-"&amp;(VLOOKUP(I:I,'Location Legend'!A:B,2,FALSE))&amp;"-"&amp;(VLOOKUP(B:B,'Location Legend'!A:B,2,FALSE))&amp;"-"&amp;A103</f>
        <v>#N/A</v>
      </c>
      <c r="K103" s="143">
        <f t="shared" si="1"/>
        <v>4</v>
      </c>
    </row>
    <row r="104" spans="1:11" x14ac:dyDescent="0.35">
      <c r="A104" s="153">
        <v>17</v>
      </c>
      <c r="B104" s="165"/>
      <c r="C104" s="45" t="s">
        <v>271</v>
      </c>
      <c r="D104" s="90"/>
      <c r="E104" s="70"/>
      <c r="F104" s="65"/>
      <c r="G104" s="44" t="e">
        <f>VLOOKUP(F:F,'Model-Vendor'!A:B,2,FALSE)</f>
        <v>#N/A</v>
      </c>
      <c r="H104" s="44" t="e">
        <f>VLOOKUP(F:F,'Model-Vendor'!A:C,3,FALSE)</f>
        <v>#N/A</v>
      </c>
      <c r="I104" s="44" t="s">
        <v>146</v>
      </c>
      <c r="J104" s="132" t="e">
        <f>CONCATENATE(TEXT($B$3,"00000"))&amp;"-"&amp;(VLOOKUP(I:I,'Location Legend'!A:B,2,FALSE))&amp;"-"&amp;(VLOOKUP(B:B,'Location Legend'!A:B,2,FALSE))&amp;"-"&amp;A104</f>
        <v>#N/A</v>
      </c>
      <c r="K104" s="141">
        <f t="shared" si="1"/>
        <v>4</v>
      </c>
    </row>
    <row r="105" spans="1:11" x14ac:dyDescent="0.35">
      <c r="A105" s="107">
        <v>17</v>
      </c>
      <c r="B105" s="49">
        <f>B104</f>
        <v>0</v>
      </c>
      <c r="C105" s="49" t="s">
        <v>271</v>
      </c>
      <c r="D105" s="89"/>
      <c r="E105" s="67"/>
      <c r="F105" s="49" t="s">
        <v>47</v>
      </c>
      <c r="G105" s="48" t="str">
        <f>VLOOKUP(F:F,'Model-Vendor'!A:B,2,FALSE)</f>
        <v>IBM-4610-1NR-WA</v>
      </c>
      <c r="H105" s="48" t="str">
        <f>VLOOKUP(F:F,'Model-Vendor'!A:C,3,FALSE)</f>
        <v>IBM</v>
      </c>
      <c r="I105" s="48" t="s">
        <v>145</v>
      </c>
      <c r="J105" s="106" t="e">
        <f>CONCATENATE(TEXT($B$3,"00000"))&amp;"-"&amp;(VLOOKUP(I:I,'Location Legend'!A:B,2,FALSE))&amp;"-"&amp;(VLOOKUP(B:B,'Location Legend'!A:B,2,FALSE))&amp;"-"&amp;A105</f>
        <v>#N/A</v>
      </c>
      <c r="K105" s="141">
        <f t="shared" si="1"/>
        <v>4</v>
      </c>
    </row>
    <row r="106" spans="1:11" x14ac:dyDescent="0.35">
      <c r="A106" s="107">
        <v>17</v>
      </c>
      <c r="B106" s="49">
        <f t="shared" ref="B106:B110" si="8">B105</f>
        <v>0</v>
      </c>
      <c r="C106" s="49" t="s">
        <v>271</v>
      </c>
      <c r="D106" s="89"/>
      <c r="E106" s="67"/>
      <c r="F106" s="49" t="s">
        <v>237</v>
      </c>
      <c r="G106" s="48" t="str">
        <f>VLOOKUP(F:F,'Model-Vendor'!A:B,2,FALSE)</f>
        <v>010368-411E-WA</v>
      </c>
      <c r="H106" s="48" t="str">
        <f>VLOOKUP(F:F,'Model-Vendor'!A:C,3,FALSE)</f>
        <v>EQUINOX</v>
      </c>
      <c r="I106" s="48" t="s">
        <v>142</v>
      </c>
      <c r="J106" s="106" t="e">
        <f>CONCATENATE(TEXT($B$3,"00000"))&amp;"-"&amp;(VLOOKUP(I:I,'Location Legend'!A:B,2,FALSE))&amp;"-"&amp;(VLOOKUP(B:B,'Location Legend'!A:B,2,FALSE))&amp;"-"&amp;A106</f>
        <v>#N/A</v>
      </c>
      <c r="K106" s="141">
        <f t="shared" si="1"/>
        <v>4</v>
      </c>
    </row>
    <row r="107" spans="1:11" x14ac:dyDescent="0.35">
      <c r="A107" s="107">
        <v>17</v>
      </c>
      <c r="B107" s="49">
        <f t="shared" si="8"/>
        <v>0</v>
      </c>
      <c r="C107" s="49" t="s">
        <v>271</v>
      </c>
      <c r="D107" s="89"/>
      <c r="E107" s="67"/>
      <c r="F107" s="6"/>
      <c r="G107" s="48" t="e">
        <f>VLOOKUP(F:F,'Model-Vendor'!A:B,2,FALSE)</f>
        <v>#N/A</v>
      </c>
      <c r="H107" s="48" t="e">
        <f>VLOOKUP(F:F,'Model-Vendor'!A:C,3,FALSE)</f>
        <v>#N/A</v>
      </c>
      <c r="I107" s="48" t="s">
        <v>122</v>
      </c>
      <c r="J107" s="106" t="e">
        <f>CONCATENATE(TEXT($B$3,"00000"))&amp;"-"&amp;(VLOOKUP(I:I,'Location Legend'!A:B,2,FALSE))&amp;"-"&amp;(VLOOKUP(B:B,'Location Legend'!A:B,2,FALSE))&amp;"-"&amp;A107</f>
        <v>#N/A</v>
      </c>
      <c r="K107" s="141">
        <f t="shared" si="1"/>
        <v>4</v>
      </c>
    </row>
    <row r="108" spans="1:11" x14ac:dyDescent="0.35">
      <c r="A108" s="107">
        <v>17</v>
      </c>
      <c r="B108" s="49">
        <f t="shared" si="8"/>
        <v>0</v>
      </c>
      <c r="C108" s="49" t="s">
        <v>271</v>
      </c>
      <c r="D108" s="89"/>
      <c r="E108" s="67"/>
      <c r="F108" s="49" t="s">
        <v>225</v>
      </c>
      <c r="G108" s="48" t="str">
        <f>VLOOKUP(F:F,'Model-Vendor'!A:B,2,FALSE)</f>
        <v>7K7LBCUW8K4A-WA</v>
      </c>
      <c r="H108" s="48" t="str">
        <f>VLOOKUP(F:F,'Model-Vendor'!A:C,3,FALSE)</f>
        <v>TELEQUIP</v>
      </c>
      <c r="I108" s="48" t="s">
        <v>114</v>
      </c>
      <c r="J108" s="106" t="e">
        <f>CONCATENATE(TEXT($B$3,"00000"))&amp;"-"&amp;(VLOOKUP(I:I,'Location Legend'!A:B,2,FALSE))&amp;"-"&amp;(VLOOKUP(B:B,'Location Legend'!A:B,2,FALSE))&amp;"-"&amp;A108</f>
        <v>#N/A</v>
      </c>
      <c r="K108" s="142">
        <v>4</v>
      </c>
    </row>
    <row r="109" spans="1:11" x14ac:dyDescent="0.35">
      <c r="A109" s="107">
        <v>17</v>
      </c>
      <c r="B109" s="49">
        <f t="shared" si="8"/>
        <v>0</v>
      </c>
      <c r="C109" s="49" t="s">
        <v>271</v>
      </c>
      <c r="D109" s="89"/>
      <c r="E109" s="67"/>
      <c r="F109" s="43"/>
      <c r="G109" s="48" t="e">
        <f>VLOOKUP(F:F,'Model-Vendor'!A:B,2,FALSE)</f>
        <v>#N/A</v>
      </c>
      <c r="H109" s="48" t="e">
        <f>VLOOKUP(F:F,'Model-Vendor'!A:C,3,FALSE)</f>
        <v>#N/A</v>
      </c>
      <c r="I109" s="48" t="s">
        <v>167</v>
      </c>
      <c r="J109" s="106" t="e">
        <f>CONCATENATE(TEXT($B$3,"00000"))&amp;"-"&amp;(VLOOKUP(I:I,'Location Legend'!A:B,2,FALSE))&amp;"-"&amp;(VLOOKUP(B:B,'Location Legend'!A:B,2,FALSE))&amp;"-"&amp;A109</f>
        <v>#N/A</v>
      </c>
      <c r="K109" s="141">
        <f t="shared" si="1"/>
        <v>4</v>
      </c>
    </row>
    <row r="110" spans="1:11" ht="14.5" thickBot="1" x14ac:dyDescent="0.4">
      <c r="A110" s="152">
        <v>17</v>
      </c>
      <c r="B110" s="52">
        <f t="shared" si="8"/>
        <v>0</v>
      </c>
      <c r="C110" s="52" t="s">
        <v>271</v>
      </c>
      <c r="D110" s="176"/>
      <c r="E110" s="177"/>
      <c r="F110" s="52" t="s">
        <v>78</v>
      </c>
      <c r="G110" s="50" t="str">
        <f>VLOOKUP(F:F,'Model-Vendor'!A:B,2,FALSE)</f>
        <v>ELNBY-SAFE-WA</v>
      </c>
      <c r="H110" s="50" t="str">
        <f>VLOOKUP(F:F,'Model-Vendor'!A:C,3,FALSE)</f>
        <v>ELLENBY</v>
      </c>
      <c r="I110" s="50" t="s">
        <v>150</v>
      </c>
      <c r="J110" s="133" t="e">
        <f>CONCATENATE(TEXT($B$3,"00000"))&amp;"-"&amp;(VLOOKUP(I:I,'Location Legend'!A:B,2,FALSE))&amp;"-"&amp;(VLOOKUP(B:B,'Location Legend'!A:B,2,FALSE))&amp;"-"&amp;A110</f>
        <v>#N/A</v>
      </c>
      <c r="K110" s="143">
        <f t="shared" si="1"/>
        <v>4</v>
      </c>
    </row>
    <row r="111" spans="1:11" x14ac:dyDescent="0.35">
      <c r="A111" s="153">
        <v>18</v>
      </c>
      <c r="B111" s="165"/>
      <c r="C111" s="45" t="s">
        <v>271</v>
      </c>
      <c r="D111" s="90"/>
      <c r="E111" s="70"/>
      <c r="F111" s="65"/>
      <c r="G111" s="44" t="e">
        <f>VLOOKUP(F:F,'Model-Vendor'!A:B,2,FALSE)</f>
        <v>#N/A</v>
      </c>
      <c r="H111" s="44" t="e">
        <f>VLOOKUP(F:F,'Model-Vendor'!A:C,3,FALSE)</f>
        <v>#N/A</v>
      </c>
      <c r="I111" s="44" t="s">
        <v>146</v>
      </c>
      <c r="J111" s="132" t="e">
        <f>CONCATENATE(TEXT($B$3,"00000"))&amp;"-"&amp;(VLOOKUP(I:I,'Location Legend'!A:B,2,FALSE))&amp;"-"&amp;(VLOOKUP(B:B,'Location Legend'!A:B,2,FALSE))&amp;"-"&amp;A111</f>
        <v>#N/A</v>
      </c>
      <c r="K111" s="141">
        <f t="shared" si="1"/>
        <v>4</v>
      </c>
    </row>
    <row r="112" spans="1:11" x14ac:dyDescent="0.35">
      <c r="A112" s="107">
        <v>18</v>
      </c>
      <c r="B112" s="49">
        <f>B111</f>
        <v>0</v>
      </c>
      <c r="C112" s="49" t="s">
        <v>271</v>
      </c>
      <c r="D112" s="89"/>
      <c r="E112" s="67"/>
      <c r="F112" s="49" t="s">
        <v>47</v>
      </c>
      <c r="G112" s="48" t="str">
        <f>VLOOKUP(F:F,'Model-Vendor'!A:B,2,FALSE)</f>
        <v>IBM-4610-1NR-WA</v>
      </c>
      <c r="H112" s="48" t="str">
        <f>VLOOKUP(F:F,'Model-Vendor'!A:C,3,FALSE)</f>
        <v>IBM</v>
      </c>
      <c r="I112" s="48" t="s">
        <v>145</v>
      </c>
      <c r="J112" s="106" t="e">
        <f>CONCATENATE(TEXT($B$3,"00000"))&amp;"-"&amp;(VLOOKUP(I:I,'Location Legend'!A:B,2,FALSE))&amp;"-"&amp;(VLOOKUP(B:B,'Location Legend'!A:B,2,FALSE))&amp;"-"&amp;A112</f>
        <v>#N/A</v>
      </c>
      <c r="K112" s="141">
        <f t="shared" si="1"/>
        <v>4</v>
      </c>
    </row>
    <row r="113" spans="1:11" x14ac:dyDescent="0.35">
      <c r="A113" s="107">
        <v>18</v>
      </c>
      <c r="B113" s="49">
        <f t="shared" ref="B113:B117" si="9">B112</f>
        <v>0</v>
      </c>
      <c r="C113" s="49" t="s">
        <v>271</v>
      </c>
      <c r="D113" s="89"/>
      <c r="E113" s="67"/>
      <c r="F113" s="49" t="s">
        <v>237</v>
      </c>
      <c r="G113" s="48" t="str">
        <f>VLOOKUP(F:F,'Model-Vendor'!A:B,2,FALSE)</f>
        <v>010368-411E-WA</v>
      </c>
      <c r="H113" s="48" t="str">
        <f>VLOOKUP(F:F,'Model-Vendor'!A:C,3,FALSE)</f>
        <v>EQUINOX</v>
      </c>
      <c r="I113" s="48" t="s">
        <v>142</v>
      </c>
      <c r="J113" s="106" t="e">
        <f>CONCATENATE(TEXT($B$3,"00000"))&amp;"-"&amp;(VLOOKUP(I:I,'Location Legend'!A:B,2,FALSE))&amp;"-"&amp;(VLOOKUP(B:B,'Location Legend'!A:B,2,FALSE))&amp;"-"&amp;A113</f>
        <v>#N/A</v>
      </c>
      <c r="K113" s="141">
        <f t="shared" si="1"/>
        <v>4</v>
      </c>
    </row>
    <row r="114" spans="1:11" x14ac:dyDescent="0.35">
      <c r="A114" s="107">
        <v>18</v>
      </c>
      <c r="B114" s="49">
        <f t="shared" si="9"/>
        <v>0</v>
      </c>
      <c r="C114" s="49" t="s">
        <v>271</v>
      </c>
      <c r="D114" s="89"/>
      <c r="E114" s="67"/>
      <c r="F114" s="6"/>
      <c r="G114" s="48" t="e">
        <f>VLOOKUP(F:F,'Model-Vendor'!A:B,2,FALSE)</f>
        <v>#N/A</v>
      </c>
      <c r="H114" s="48" t="e">
        <f>VLOOKUP(F:F,'Model-Vendor'!A:C,3,FALSE)</f>
        <v>#N/A</v>
      </c>
      <c r="I114" s="48" t="s">
        <v>122</v>
      </c>
      <c r="J114" s="106" t="e">
        <f>CONCATENATE(TEXT($B$3,"00000"))&amp;"-"&amp;(VLOOKUP(I:I,'Location Legend'!A:B,2,FALSE))&amp;"-"&amp;(VLOOKUP(B:B,'Location Legend'!A:B,2,FALSE))&amp;"-"&amp;A114</f>
        <v>#N/A</v>
      </c>
      <c r="K114" s="141">
        <f t="shared" si="1"/>
        <v>4</v>
      </c>
    </row>
    <row r="115" spans="1:11" x14ac:dyDescent="0.35">
      <c r="A115" s="107">
        <v>18</v>
      </c>
      <c r="B115" s="49">
        <f t="shared" si="9"/>
        <v>0</v>
      </c>
      <c r="C115" s="49" t="s">
        <v>271</v>
      </c>
      <c r="D115" s="89"/>
      <c r="E115" s="67"/>
      <c r="F115" s="49" t="s">
        <v>225</v>
      </c>
      <c r="G115" s="48" t="str">
        <f>VLOOKUP(F:F,'Model-Vendor'!A:B,2,FALSE)</f>
        <v>7K7LBCUW8K4A-WA</v>
      </c>
      <c r="H115" s="48" t="str">
        <f>VLOOKUP(F:F,'Model-Vendor'!A:C,3,FALSE)</f>
        <v>TELEQUIP</v>
      </c>
      <c r="I115" s="48" t="s">
        <v>114</v>
      </c>
      <c r="J115" s="106" t="e">
        <f>CONCATENATE(TEXT($B$3,"00000"))&amp;"-"&amp;(VLOOKUP(I:I,'Location Legend'!A:B,2,FALSE))&amp;"-"&amp;(VLOOKUP(B:B,'Location Legend'!A:B,2,FALSE))&amp;"-"&amp;A115</f>
        <v>#N/A</v>
      </c>
      <c r="K115" s="142">
        <v>4</v>
      </c>
    </row>
    <row r="116" spans="1:11" x14ac:dyDescent="0.35">
      <c r="A116" s="107">
        <v>18</v>
      </c>
      <c r="B116" s="49">
        <f t="shared" si="9"/>
        <v>0</v>
      </c>
      <c r="C116" s="49" t="s">
        <v>271</v>
      </c>
      <c r="D116" s="89"/>
      <c r="E116" s="67"/>
      <c r="F116" s="43"/>
      <c r="G116" s="48" t="e">
        <f>VLOOKUP(F:F,'Model-Vendor'!A:B,2,FALSE)</f>
        <v>#N/A</v>
      </c>
      <c r="H116" s="48" t="e">
        <f>VLOOKUP(F:F,'Model-Vendor'!A:C,3,FALSE)</f>
        <v>#N/A</v>
      </c>
      <c r="I116" s="48" t="s">
        <v>167</v>
      </c>
      <c r="J116" s="106" t="e">
        <f>CONCATENATE(TEXT($B$3,"00000"))&amp;"-"&amp;(VLOOKUP(I:I,'Location Legend'!A:B,2,FALSE))&amp;"-"&amp;(VLOOKUP(B:B,'Location Legend'!A:B,2,FALSE))&amp;"-"&amp;A116</f>
        <v>#N/A</v>
      </c>
      <c r="K116" s="141">
        <f t="shared" si="1"/>
        <v>4</v>
      </c>
    </row>
    <row r="117" spans="1:11" ht="14.5" thickBot="1" x14ac:dyDescent="0.4">
      <c r="A117" s="152">
        <v>18</v>
      </c>
      <c r="B117" s="52">
        <f t="shared" si="9"/>
        <v>0</v>
      </c>
      <c r="C117" s="52" t="s">
        <v>271</v>
      </c>
      <c r="D117" s="176"/>
      <c r="E117" s="177"/>
      <c r="F117" s="52" t="s">
        <v>78</v>
      </c>
      <c r="G117" s="50" t="str">
        <f>VLOOKUP(F:F,'Model-Vendor'!A:B,2,FALSE)</f>
        <v>ELNBY-SAFE-WA</v>
      </c>
      <c r="H117" s="50" t="str">
        <f>VLOOKUP(F:F,'Model-Vendor'!A:C,3,FALSE)</f>
        <v>ELLENBY</v>
      </c>
      <c r="I117" s="50" t="s">
        <v>150</v>
      </c>
      <c r="J117" s="133" t="e">
        <f>CONCATENATE(TEXT($B$3,"00000"))&amp;"-"&amp;(VLOOKUP(I:I,'Location Legend'!A:B,2,FALSE))&amp;"-"&amp;(VLOOKUP(B:B,'Location Legend'!A:B,2,FALSE))&amp;"-"&amp;A117</f>
        <v>#N/A</v>
      </c>
      <c r="K117" s="143">
        <f t="shared" si="1"/>
        <v>4</v>
      </c>
    </row>
    <row r="118" spans="1:11" x14ac:dyDescent="0.35">
      <c r="A118" s="153">
        <v>19</v>
      </c>
      <c r="B118" s="165"/>
      <c r="C118" s="45" t="s">
        <v>271</v>
      </c>
      <c r="D118" s="90"/>
      <c r="E118" s="70"/>
      <c r="F118" s="65"/>
      <c r="G118" s="44" t="e">
        <f>VLOOKUP(F:F,'Model-Vendor'!A:B,2,FALSE)</f>
        <v>#N/A</v>
      </c>
      <c r="H118" s="44" t="e">
        <f>VLOOKUP(F:F,'Model-Vendor'!A:C,3,FALSE)</f>
        <v>#N/A</v>
      </c>
      <c r="I118" s="44" t="s">
        <v>146</v>
      </c>
      <c r="J118" s="132" t="e">
        <f>CONCATENATE(TEXT($B$3,"00000"))&amp;"-"&amp;(VLOOKUP(I:I,'Location Legend'!A:B,2,FALSE))&amp;"-"&amp;(VLOOKUP(B:B,'Location Legend'!A:B,2,FALSE))&amp;"-"&amp;A118</f>
        <v>#N/A</v>
      </c>
      <c r="K118" s="141">
        <f t="shared" si="1"/>
        <v>4</v>
      </c>
    </row>
    <row r="119" spans="1:11" x14ac:dyDescent="0.35">
      <c r="A119" s="107">
        <v>19</v>
      </c>
      <c r="B119" s="49">
        <f>B118</f>
        <v>0</v>
      </c>
      <c r="C119" s="49" t="s">
        <v>271</v>
      </c>
      <c r="D119" s="89"/>
      <c r="E119" s="67"/>
      <c r="F119" s="49" t="s">
        <v>47</v>
      </c>
      <c r="G119" s="48" t="str">
        <f>VLOOKUP(F:F,'Model-Vendor'!A:B,2,FALSE)</f>
        <v>IBM-4610-1NR-WA</v>
      </c>
      <c r="H119" s="48" t="str">
        <f>VLOOKUP(F:F,'Model-Vendor'!A:C,3,FALSE)</f>
        <v>IBM</v>
      </c>
      <c r="I119" s="48" t="s">
        <v>145</v>
      </c>
      <c r="J119" s="106" t="e">
        <f>CONCATENATE(TEXT($B$3,"00000"))&amp;"-"&amp;(VLOOKUP(I:I,'Location Legend'!A:B,2,FALSE))&amp;"-"&amp;(VLOOKUP(B:B,'Location Legend'!A:B,2,FALSE))&amp;"-"&amp;A119</f>
        <v>#N/A</v>
      </c>
      <c r="K119" s="141">
        <f t="shared" si="1"/>
        <v>4</v>
      </c>
    </row>
    <row r="120" spans="1:11" x14ac:dyDescent="0.35">
      <c r="A120" s="107">
        <v>19</v>
      </c>
      <c r="B120" s="49">
        <f t="shared" ref="B120:B124" si="10">B119</f>
        <v>0</v>
      </c>
      <c r="C120" s="49" t="s">
        <v>271</v>
      </c>
      <c r="D120" s="89"/>
      <c r="E120" s="67"/>
      <c r="F120" s="49" t="s">
        <v>237</v>
      </c>
      <c r="G120" s="48" t="str">
        <f>VLOOKUP(F:F,'Model-Vendor'!A:B,2,FALSE)</f>
        <v>010368-411E-WA</v>
      </c>
      <c r="H120" s="48" t="str">
        <f>VLOOKUP(F:F,'Model-Vendor'!A:C,3,FALSE)</f>
        <v>EQUINOX</v>
      </c>
      <c r="I120" s="48" t="s">
        <v>142</v>
      </c>
      <c r="J120" s="106" t="e">
        <f>CONCATENATE(TEXT($B$3,"00000"))&amp;"-"&amp;(VLOOKUP(I:I,'Location Legend'!A:B,2,FALSE))&amp;"-"&amp;(VLOOKUP(B:B,'Location Legend'!A:B,2,FALSE))&amp;"-"&amp;A120</f>
        <v>#N/A</v>
      </c>
      <c r="K120" s="141">
        <f t="shared" si="1"/>
        <v>4</v>
      </c>
    </row>
    <row r="121" spans="1:11" x14ac:dyDescent="0.35">
      <c r="A121" s="107">
        <v>19</v>
      </c>
      <c r="B121" s="49">
        <f t="shared" si="10"/>
        <v>0</v>
      </c>
      <c r="C121" s="49" t="s">
        <v>271</v>
      </c>
      <c r="D121" s="89"/>
      <c r="E121" s="67"/>
      <c r="F121" s="6"/>
      <c r="G121" s="48" t="e">
        <f>VLOOKUP(F:F,'Model-Vendor'!A:B,2,FALSE)</f>
        <v>#N/A</v>
      </c>
      <c r="H121" s="48" t="e">
        <f>VLOOKUP(F:F,'Model-Vendor'!A:C,3,FALSE)</f>
        <v>#N/A</v>
      </c>
      <c r="I121" s="48" t="s">
        <v>122</v>
      </c>
      <c r="J121" s="106" t="e">
        <f>CONCATENATE(TEXT($B$3,"00000"))&amp;"-"&amp;(VLOOKUP(I:I,'Location Legend'!A:B,2,FALSE))&amp;"-"&amp;(VLOOKUP(B:B,'Location Legend'!A:B,2,FALSE))&amp;"-"&amp;A121</f>
        <v>#N/A</v>
      </c>
      <c r="K121" s="141">
        <f t="shared" si="1"/>
        <v>4</v>
      </c>
    </row>
    <row r="122" spans="1:11" x14ac:dyDescent="0.35">
      <c r="A122" s="107">
        <v>19</v>
      </c>
      <c r="B122" s="49">
        <f t="shared" si="10"/>
        <v>0</v>
      </c>
      <c r="C122" s="49" t="s">
        <v>271</v>
      </c>
      <c r="D122" s="89"/>
      <c r="E122" s="67"/>
      <c r="F122" s="49" t="s">
        <v>225</v>
      </c>
      <c r="G122" s="48" t="str">
        <f>VLOOKUP(F:F,'Model-Vendor'!A:B,2,FALSE)</f>
        <v>7K7LBCUW8K4A-WA</v>
      </c>
      <c r="H122" s="48" t="str">
        <f>VLOOKUP(F:F,'Model-Vendor'!A:C,3,FALSE)</f>
        <v>TELEQUIP</v>
      </c>
      <c r="I122" s="48" t="s">
        <v>114</v>
      </c>
      <c r="J122" s="106" t="e">
        <f>CONCATENATE(TEXT($B$3,"00000"))&amp;"-"&amp;(VLOOKUP(I:I,'Location Legend'!A:B,2,FALSE))&amp;"-"&amp;(VLOOKUP(B:B,'Location Legend'!A:B,2,FALSE))&amp;"-"&amp;A122</f>
        <v>#N/A</v>
      </c>
      <c r="K122" s="142">
        <v>4</v>
      </c>
    </row>
    <row r="123" spans="1:11" x14ac:dyDescent="0.35">
      <c r="A123" s="107">
        <v>19</v>
      </c>
      <c r="B123" s="49">
        <f t="shared" si="10"/>
        <v>0</v>
      </c>
      <c r="C123" s="49" t="s">
        <v>271</v>
      </c>
      <c r="D123" s="89"/>
      <c r="E123" s="67"/>
      <c r="F123" s="43"/>
      <c r="G123" s="48" t="e">
        <f>VLOOKUP(F:F,'Model-Vendor'!A:B,2,FALSE)</f>
        <v>#N/A</v>
      </c>
      <c r="H123" s="48" t="e">
        <f>VLOOKUP(F:F,'Model-Vendor'!A:C,3,FALSE)</f>
        <v>#N/A</v>
      </c>
      <c r="I123" s="48" t="s">
        <v>167</v>
      </c>
      <c r="J123" s="106" t="e">
        <f>CONCATENATE(TEXT($B$3,"00000"))&amp;"-"&amp;(VLOOKUP(I:I,'Location Legend'!A:B,2,FALSE))&amp;"-"&amp;(VLOOKUP(B:B,'Location Legend'!A:B,2,FALSE))&amp;"-"&amp;A123</f>
        <v>#N/A</v>
      </c>
      <c r="K123" s="141">
        <f t="shared" si="1"/>
        <v>4</v>
      </c>
    </row>
    <row r="124" spans="1:11" ht="14.5" thickBot="1" x14ac:dyDescent="0.4">
      <c r="A124" s="152">
        <v>19</v>
      </c>
      <c r="B124" s="52">
        <f t="shared" si="10"/>
        <v>0</v>
      </c>
      <c r="C124" s="52" t="s">
        <v>271</v>
      </c>
      <c r="D124" s="176"/>
      <c r="E124" s="177"/>
      <c r="F124" s="52" t="s">
        <v>78</v>
      </c>
      <c r="G124" s="50" t="str">
        <f>VLOOKUP(F:F,'Model-Vendor'!A:B,2,FALSE)</f>
        <v>ELNBY-SAFE-WA</v>
      </c>
      <c r="H124" s="50" t="str">
        <f>VLOOKUP(F:F,'Model-Vendor'!A:C,3,FALSE)</f>
        <v>ELLENBY</v>
      </c>
      <c r="I124" s="50" t="s">
        <v>150</v>
      </c>
      <c r="J124" s="133" t="e">
        <f>CONCATENATE(TEXT($B$3,"00000"))&amp;"-"&amp;(VLOOKUP(I:I,'Location Legend'!A:B,2,FALSE))&amp;"-"&amp;(VLOOKUP(B:B,'Location Legend'!A:B,2,FALSE))&amp;"-"&amp;A124</f>
        <v>#N/A</v>
      </c>
      <c r="K124" s="143">
        <f t="shared" si="1"/>
        <v>4</v>
      </c>
    </row>
    <row r="125" spans="1:11" hidden="1" x14ac:dyDescent="0.35">
      <c r="A125" s="153">
        <v>21</v>
      </c>
      <c r="B125" s="45" t="s">
        <v>184</v>
      </c>
      <c r="C125" s="45" t="s">
        <v>271</v>
      </c>
      <c r="D125" s="90"/>
      <c r="E125" s="70"/>
      <c r="F125" s="65"/>
      <c r="G125" s="44" t="e">
        <f>VLOOKUP(F:F,'Model-Vendor'!A:B,2,FALSE)</f>
        <v>#N/A</v>
      </c>
      <c r="H125" s="44" t="e">
        <f>VLOOKUP(F:F,'Model-Vendor'!A:C,3,FALSE)</f>
        <v>#N/A</v>
      </c>
      <c r="I125" s="44" t="s">
        <v>146</v>
      </c>
      <c r="J125" s="132" t="str">
        <f>CONCATENATE(TEXT($B$3,"00000"))&amp;"-"&amp;(VLOOKUP(I:I,'Location Legend'!A:B,2,FALSE))&amp;"-"&amp;(VLOOKUP(B:B,'Location Legend'!A:B,2,FALSE))&amp;"-"&amp;A125</f>
        <v>00853-REG-KSK-21</v>
      </c>
      <c r="K125" s="141">
        <v>4</v>
      </c>
    </row>
    <row r="126" spans="1:11" hidden="1" x14ac:dyDescent="0.35">
      <c r="A126" s="107">
        <v>21</v>
      </c>
      <c r="B126" s="49" t="s">
        <v>184</v>
      </c>
      <c r="C126" s="49" t="s">
        <v>271</v>
      </c>
      <c r="D126" s="89"/>
      <c r="E126" s="67"/>
      <c r="F126" s="49" t="s">
        <v>47</v>
      </c>
      <c r="G126" s="48" t="str">
        <f>VLOOKUP(F:F,'Model-Vendor'!A:B,2,FALSE)</f>
        <v>IBM-4610-1NR-WA</v>
      </c>
      <c r="H126" s="48" t="str">
        <f>VLOOKUP(F:F,'Model-Vendor'!A:C,3,FALSE)</f>
        <v>IBM</v>
      </c>
      <c r="I126" s="48" t="s">
        <v>145</v>
      </c>
      <c r="J126" s="106" t="str">
        <f>CONCATENATE(TEXT($B$3,"00000"))&amp;"-"&amp;(VLOOKUP(I:I,'Location Legend'!A:B,2,FALSE))&amp;"-"&amp;(VLOOKUP(B:B,'Location Legend'!A:B,2,FALSE))&amp;"-"&amp;A126</f>
        <v>00853-PRT-KSK-21</v>
      </c>
      <c r="K126" s="141">
        <v>4</v>
      </c>
    </row>
    <row r="127" spans="1:11" hidden="1" x14ac:dyDescent="0.35">
      <c r="A127" s="107">
        <v>21</v>
      </c>
      <c r="B127" s="49" t="s">
        <v>184</v>
      </c>
      <c r="C127" s="49" t="s">
        <v>271</v>
      </c>
      <c r="D127" s="89"/>
      <c r="E127" s="67"/>
      <c r="F127" s="43"/>
      <c r="G127" s="48" t="e">
        <f>VLOOKUP(F:F,'Model-Vendor'!A:B,2,FALSE)</f>
        <v>#N/A</v>
      </c>
      <c r="H127" s="48" t="e">
        <f>VLOOKUP(F:F,'Model-Vendor'!A:C,3,FALSE)</f>
        <v>#N/A</v>
      </c>
      <c r="I127" s="48" t="s">
        <v>167</v>
      </c>
      <c r="J127" s="106" t="str">
        <f>CONCATENATE(TEXT($B$3,"00000"))&amp;"-"&amp;(VLOOKUP(I:I,'Location Legend'!A:B,2,FALSE))&amp;"-"&amp;(VLOOKUP(B:B,'Location Legend'!A:B,2,FALSE))&amp;"-"&amp;A127</f>
        <v>00853-UPS-KSK-21</v>
      </c>
      <c r="K127" s="141">
        <v>4</v>
      </c>
    </row>
    <row r="128" spans="1:11" hidden="1" x14ac:dyDescent="0.35">
      <c r="A128" s="107">
        <v>21</v>
      </c>
      <c r="B128" s="49" t="s">
        <v>184</v>
      </c>
      <c r="C128" s="49" t="s">
        <v>271</v>
      </c>
      <c r="D128" s="89"/>
      <c r="E128" s="67"/>
      <c r="F128" s="154" t="s">
        <v>237</v>
      </c>
      <c r="G128" s="48" t="str">
        <f>VLOOKUP(F:F,'Model-Vendor'!A:B,2,FALSE)</f>
        <v>010368-411E-WA</v>
      </c>
      <c r="H128" s="48" t="str">
        <f>VLOOKUP(F:F,'Model-Vendor'!A:C,3,FALSE)</f>
        <v>EQUINOX</v>
      </c>
      <c r="I128" s="48" t="s">
        <v>142</v>
      </c>
      <c r="J128" s="106" t="str">
        <f>CONCATENATE(TEXT($B$3,"00000"))&amp;"-"&amp;(VLOOKUP(I:I,'Location Legend'!A:B,2,FALSE))&amp;"-"&amp;(VLOOKUP(B:B,'Location Legend'!A:B,2,FALSE))&amp;"-"&amp;A128</f>
        <v>00853-PIN-KSK-21</v>
      </c>
      <c r="K128" s="141">
        <v>4</v>
      </c>
    </row>
    <row r="129" spans="1:11" ht="14.5" hidden="1" thickBot="1" x14ac:dyDescent="0.4">
      <c r="A129" s="152">
        <v>21</v>
      </c>
      <c r="B129" s="52" t="s">
        <v>184</v>
      </c>
      <c r="C129" s="52" t="s">
        <v>271</v>
      </c>
      <c r="D129" s="176"/>
      <c r="E129" s="177"/>
      <c r="F129" s="155" t="s">
        <v>78</v>
      </c>
      <c r="G129" s="50" t="str">
        <f>VLOOKUP(F:F,'Model-Vendor'!A:B,2,FALSE)</f>
        <v>ELNBY-SAFE-WA</v>
      </c>
      <c r="H129" s="50" t="str">
        <f>VLOOKUP(F:F,'Model-Vendor'!A:C,3,FALSE)</f>
        <v>ELLENBY</v>
      </c>
      <c r="I129" s="50" t="s">
        <v>150</v>
      </c>
      <c r="J129" s="133" t="str">
        <f>CONCATENATE(TEXT($B$3,"00000"))&amp;"-"&amp;(VLOOKUP(I:I,'Location Legend'!A:B,2,FALSE))&amp;"-"&amp;(VLOOKUP(B:B,'Location Legend'!A:B,2,FALSE))&amp;"-"&amp;A129</f>
        <v>00853-SAF-KSK-21</v>
      </c>
      <c r="K129" s="143">
        <v>4</v>
      </c>
    </row>
    <row r="130" spans="1:11" hidden="1" x14ac:dyDescent="0.35">
      <c r="A130" s="153">
        <v>22</v>
      </c>
      <c r="B130" s="45" t="s">
        <v>184</v>
      </c>
      <c r="C130" s="45" t="s">
        <v>271</v>
      </c>
      <c r="D130" s="90"/>
      <c r="E130" s="70"/>
      <c r="F130" s="65"/>
      <c r="G130" s="44" t="e">
        <f>VLOOKUP(F:F,'Model-Vendor'!A:B,2,FALSE)</f>
        <v>#N/A</v>
      </c>
      <c r="H130" s="44" t="e">
        <f>VLOOKUP(F:F,'Model-Vendor'!A:C,3,FALSE)</f>
        <v>#N/A</v>
      </c>
      <c r="I130" s="44" t="s">
        <v>146</v>
      </c>
      <c r="J130" s="132" t="str">
        <f>CONCATENATE(TEXT($B$3,"00000"))&amp;"-"&amp;(VLOOKUP(I:I,'Location Legend'!A:B,2,FALSE))&amp;"-"&amp;(VLOOKUP(B:B,'Location Legend'!A:B,2,FALSE))&amp;"-"&amp;A130</f>
        <v>00853-REG-KSK-22</v>
      </c>
      <c r="K130" s="141">
        <v>4</v>
      </c>
    </row>
    <row r="131" spans="1:11" hidden="1" x14ac:dyDescent="0.35">
      <c r="A131" s="107">
        <v>22</v>
      </c>
      <c r="B131" s="49" t="s">
        <v>184</v>
      </c>
      <c r="C131" s="49" t="s">
        <v>271</v>
      </c>
      <c r="D131" s="89"/>
      <c r="E131" s="67"/>
      <c r="F131" s="49" t="s">
        <v>47</v>
      </c>
      <c r="G131" s="48" t="str">
        <f>VLOOKUP(F:F,'Model-Vendor'!A:B,2,FALSE)</f>
        <v>IBM-4610-1NR-WA</v>
      </c>
      <c r="H131" s="48" t="str">
        <f>VLOOKUP(F:F,'Model-Vendor'!A:C,3,FALSE)</f>
        <v>IBM</v>
      </c>
      <c r="I131" s="48" t="s">
        <v>145</v>
      </c>
      <c r="J131" s="106" t="str">
        <f>CONCATENATE(TEXT($B$3,"00000"))&amp;"-"&amp;(VLOOKUP(I:I,'Location Legend'!A:B,2,FALSE))&amp;"-"&amp;(VLOOKUP(B:B,'Location Legend'!A:B,2,FALSE))&amp;"-"&amp;A131</f>
        <v>00853-PRT-KSK-22</v>
      </c>
      <c r="K131" s="141">
        <v>4</v>
      </c>
    </row>
    <row r="132" spans="1:11" hidden="1" x14ac:dyDescent="0.35">
      <c r="A132" s="107">
        <v>22</v>
      </c>
      <c r="B132" s="49" t="s">
        <v>184</v>
      </c>
      <c r="C132" s="49" t="s">
        <v>271</v>
      </c>
      <c r="D132" s="89"/>
      <c r="E132" s="67"/>
      <c r="F132" s="43"/>
      <c r="G132" s="48" t="e">
        <f>VLOOKUP(F:F,'Model-Vendor'!A:B,2,FALSE)</f>
        <v>#N/A</v>
      </c>
      <c r="H132" s="48" t="e">
        <f>VLOOKUP(F:F,'Model-Vendor'!A:C,3,FALSE)</f>
        <v>#N/A</v>
      </c>
      <c r="I132" s="48" t="s">
        <v>167</v>
      </c>
      <c r="J132" s="106" t="str">
        <f>CONCATENATE(TEXT($B$3,"00000"))&amp;"-"&amp;(VLOOKUP(I:I,'Location Legend'!A:B,2,FALSE))&amp;"-"&amp;(VLOOKUP(B:B,'Location Legend'!A:B,2,FALSE))&amp;"-"&amp;A132</f>
        <v>00853-UPS-KSK-22</v>
      </c>
      <c r="K132" s="141">
        <v>4</v>
      </c>
    </row>
    <row r="133" spans="1:11" hidden="1" x14ac:dyDescent="0.35">
      <c r="A133" s="107">
        <v>22</v>
      </c>
      <c r="B133" s="49" t="s">
        <v>184</v>
      </c>
      <c r="C133" s="49" t="s">
        <v>271</v>
      </c>
      <c r="D133" s="89"/>
      <c r="E133" s="67"/>
      <c r="F133" s="154" t="s">
        <v>237</v>
      </c>
      <c r="G133" s="48" t="str">
        <f>VLOOKUP(F:F,'Model-Vendor'!A:B,2,FALSE)</f>
        <v>010368-411E-WA</v>
      </c>
      <c r="H133" s="48" t="str">
        <f>VLOOKUP(F:F,'Model-Vendor'!A:C,3,FALSE)</f>
        <v>EQUINOX</v>
      </c>
      <c r="I133" s="48" t="s">
        <v>142</v>
      </c>
      <c r="J133" s="106" t="str">
        <f>CONCATENATE(TEXT($B$3,"00000"))&amp;"-"&amp;(VLOOKUP(I:I,'Location Legend'!A:B,2,FALSE))&amp;"-"&amp;(VLOOKUP(B:B,'Location Legend'!A:B,2,FALSE))&amp;"-"&amp;A133</f>
        <v>00853-PIN-KSK-22</v>
      </c>
      <c r="K133" s="141">
        <v>4</v>
      </c>
    </row>
    <row r="134" spans="1:11" ht="14.5" hidden="1" thickBot="1" x14ac:dyDescent="0.4">
      <c r="A134" s="152">
        <v>22</v>
      </c>
      <c r="B134" s="52" t="s">
        <v>184</v>
      </c>
      <c r="C134" s="52" t="s">
        <v>271</v>
      </c>
      <c r="D134" s="176"/>
      <c r="E134" s="177"/>
      <c r="F134" s="155" t="s">
        <v>78</v>
      </c>
      <c r="G134" s="50" t="str">
        <f>VLOOKUP(F:F,'Model-Vendor'!A:B,2,FALSE)</f>
        <v>ELNBY-SAFE-WA</v>
      </c>
      <c r="H134" s="50" t="str">
        <f>VLOOKUP(F:F,'Model-Vendor'!A:C,3,FALSE)</f>
        <v>ELLENBY</v>
      </c>
      <c r="I134" s="50" t="s">
        <v>150</v>
      </c>
      <c r="J134" s="133" t="str">
        <f>CONCATENATE(TEXT($B$3,"00000"))&amp;"-"&amp;(VLOOKUP(I:I,'Location Legend'!A:B,2,FALSE))&amp;"-"&amp;(VLOOKUP(B:B,'Location Legend'!A:B,2,FALSE))&amp;"-"&amp;A134</f>
        <v>00853-SAF-KSK-22</v>
      </c>
      <c r="K134" s="143">
        <v>4</v>
      </c>
    </row>
    <row r="135" spans="1:11" hidden="1" x14ac:dyDescent="0.35">
      <c r="A135" s="153">
        <v>23</v>
      </c>
      <c r="B135" s="45" t="s">
        <v>184</v>
      </c>
      <c r="C135" s="45" t="s">
        <v>271</v>
      </c>
      <c r="D135" s="90"/>
      <c r="E135" s="70"/>
      <c r="F135" s="65"/>
      <c r="G135" s="44" t="e">
        <f>VLOOKUP(F:F,'Model-Vendor'!A:B,2,FALSE)</f>
        <v>#N/A</v>
      </c>
      <c r="H135" s="44" t="e">
        <f>VLOOKUP(F:F,'Model-Vendor'!A:C,3,FALSE)</f>
        <v>#N/A</v>
      </c>
      <c r="I135" s="44" t="s">
        <v>146</v>
      </c>
      <c r="J135" s="132" t="str">
        <f>CONCATENATE(TEXT($B$3,"00000"))&amp;"-"&amp;(VLOOKUP(I:I,'Location Legend'!A:B,2,FALSE))&amp;"-"&amp;(VLOOKUP(B:B,'Location Legend'!A:B,2,FALSE))&amp;"-"&amp;A135</f>
        <v>00853-REG-KSK-23</v>
      </c>
      <c r="K135" s="141">
        <v>4</v>
      </c>
    </row>
    <row r="136" spans="1:11" hidden="1" x14ac:dyDescent="0.35">
      <c r="A136" s="107">
        <v>23</v>
      </c>
      <c r="B136" s="49" t="s">
        <v>184</v>
      </c>
      <c r="C136" s="49" t="s">
        <v>271</v>
      </c>
      <c r="D136" s="89"/>
      <c r="E136" s="67"/>
      <c r="F136" s="49" t="s">
        <v>47</v>
      </c>
      <c r="G136" s="48" t="str">
        <f>VLOOKUP(F:F,'Model-Vendor'!A:B,2,FALSE)</f>
        <v>IBM-4610-1NR-WA</v>
      </c>
      <c r="H136" s="48" t="str">
        <f>VLOOKUP(F:F,'Model-Vendor'!A:C,3,FALSE)</f>
        <v>IBM</v>
      </c>
      <c r="I136" s="48" t="s">
        <v>145</v>
      </c>
      <c r="J136" s="106" t="str">
        <f>CONCATENATE(TEXT($B$3,"00000"))&amp;"-"&amp;(VLOOKUP(I:I,'Location Legend'!A:B,2,FALSE))&amp;"-"&amp;(VLOOKUP(B:B,'Location Legend'!A:B,2,FALSE))&amp;"-"&amp;A136</f>
        <v>00853-PRT-KSK-23</v>
      </c>
      <c r="K136" s="141">
        <v>4</v>
      </c>
    </row>
    <row r="137" spans="1:11" hidden="1" x14ac:dyDescent="0.35">
      <c r="A137" s="107">
        <v>23</v>
      </c>
      <c r="B137" s="49" t="s">
        <v>184</v>
      </c>
      <c r="C137" s="49" t="s">
        <v>271</v>
      </c>
      <c r="D137" s="89"/>
      <c r="E137" s="67"/>
      <c r="F137" s="43"/>
      <c r="G137" s="48" t="e">
        <f>VLOOKUP(F:F,'Model-Vendor'!A:B,2,FALSE)</f>
        <v>#N/A</v>
      </c>
      <c r="H137" s="48" t="e">
        <f>VLOOKUP(F:F,'Model-Vendor'!A:C,3,FALSE)</f>
        <v>#N/A</v>
      </c>
      <c r="I137" s="48" t="s">
        <v>167</v>
      </c>
      <c r="J137" s="106" t="str">
        <f>CONCATENATE(TEXT($B$3,"00000"))&amp;"-"&amp;(VLOOKUP(I:I,'Location Legend'!A:B,2,FALSE))&amp;"-"&amp;(VLOOKUP(B:B,'Location Legend'!A:B,2,FALSE))&amp;"-"&amp;A137</f>
        <v>00853-UPS-KSK-23</v>
      </c>
      <c r="K137" s="141">
        <v>4</v>
      </c>
    </row>
    <row r="138" spans="1:11" hidden="1" x14ac:dyDescent="0.35">
      <c r="A138" s="107">
        <v>23</v>
      </c>
      <c r="B138" s="49" t="s">
        <v>184</v>
      </c>
      <c r="C138" s="49" t="s">
        <v>271</v>
      </c>
      <c r="D138" s="89"/>
      <c r="E138" s="67"/>
      <c r="F138" s="154" t="s">
        <v>237</v>
      </c>
      <c r="G138" s="48" t="str">
        <f>VLOOKUP(F:F,'Model-Vendor'!A:B,2,FALSE)</f>
        <v>010368-411E-WA</v>
      </c>
      <c r="H138" s="48" t="str">
        <f>VLOOKUP(F:F,'Model-Vendor'!A:C,3,FALSE)</f>
        <v>EQUINOX</v>
      </c>
      <c r="I138" s="48" t="s">
        <v>142</v>
      </c>
      <c r="J138" s="106" t="str">
        <f>CONCATENATE(TEXT($B$3,"00000"))&amp;"-"&amp;(VLOOKUP(I:I,'Location Legend'!A:B,2,FALSE))&amp;"-"&amp;(VLOOKUP(B:B,'Location Legend'!A:B,2,FALSE))&amp;"-"&amp;A138</f>
        <v>00853-PIN-KSK-23</v>
      </c>
      <c r="K138" s="141">
        <v>4</v>
      </c>
    </row>
    <row r="139" spans="1:11" ht="14.5" hidden="1" thickBot="1" x14ac:dyDescent="0.4">
      <c r="A139" s="152">
        <v>23</v>
      </c>
      <c r="B139" s="52" t="s">
        <v>184</v>
      </c>
      <c r="C139" s="52" t="s">
        <v>271</v>
      </c>
      <c r="D139" s="176"/>
      <c r="E139" s="177"/>
      <c r="F139" s="155" t="s">
        <v>78</v>
      </c>
      <c r="G139" s="50" t="str">
        <f>VLOOKUP(F:F,'Model-Vendor'!A:B,2,FALSE)</f>
        <v>ELNBY-SAFE-WA</v>
      </c>
      <c r="H139" s="50" t="str">
        <f>VLOOKUP(F:F,'Model-Vendor'!A:C,3,FALSE)</f>
        <v>ELLENBY</v>
      </c>
      <c r="I139" s="50" t="s">
        <v>150</v>
      </c>
      <c r="J139" s="133" t="str">
        <f>CONCATENATE(TEXT($B$3,"00000"))&amp;"-"&amp;(VLOOKUP(I:I,'Location Legend'!A:B,2,FALSE))&amp;"-"&amp;(VLOOKUP(B:B,'Location Legend'!A:B,2,FALSE))&amp;"-"&amp;A139</f>
        <v>00853-SAF-KSK-23</v>
      </c>
      <c r="K139" s="143">
        <v>4</v>
      </c>
    </row>
    <row r="140" spans="1:11" hidden="1" x14ac:dyDescent="0.35">
      <c r="A140" s="153">
        <v>24</v>
      </c>
      <c r="B140" s="45" t="s">
        <v>184</v>
      </c>
      <c r="C140" s="45" t="s">
        <v>271</v>
      </c>
      <c r="D140" s="90"/>
      <c r="E140" s="70"/>
      <c r="F140" s="65"/>
      <c r="G140" s="44" t="e">
        <f>VLOOKUP(F:F,'Model-Vendor'!A:B,2,FALSE)</f>
        <v>#N/A</v>
      </c>
      <c r="H140" s="44" t="e">
        <f>VLOOKUP(F:F,'Model-Vendor'!A:C,3,FALSE)</f>
        <v>#N/A</v>
      </c>
      <c r="I140" s="44" t="s">
        <v>146</v>
      </c>
      <c r="J140" s="132" t="str">
        <f>CONCATENATE(TEXT($B$3,"00000"))&amp;"-"&amp;(VLOOKUP(I:I,'Location Legend'!A:B,2,FALSE))&amp;"-"&amp;(VLOOKUP(B:B,'Location Legend'!A:B,2,FALSE))&amp;"-"&amp;A140</f>
        <v>00853-REG-KSK-24</v>
      </c>
      <c r="K140" s="141">
        <v>4</v>
      </c>
    </row>
    <row r="141" spans="1:11" hidden="1" x14ac:dyDescent="0.35">
      <c r="A141" s="107">
        <v>24</v>
      </c>
      <c r="B141" s="49" t="s">
        <v>184</v>
      </c>
      <c r="C141" s="49" t="s">
        <v>271</v>
      </c>
      <c r="D141" s="89"/>
      <c r="E141" s="67"/>
      <c r="F141" s="49" t="s">
        <v>47</v>
      </c>
      <c r="G141" s="48" t="str">
        <f>VLOOKUP(F:F,'Model-Vendor'!A:B,2,FALSE)</f>
        <v>IBM-4610-1NR-WA</v>
      </c>
      <c r="H141" s="48" t="str">
        <f>VLOOKUP(F:F,'Model-Vendor'!A:C,3,FALSE)</f>
        <v>IBM</v>
      </c>
      <c r="I141" s="48" t="s">
        <v>145</v>
      </c>
      <c r="J141" s="106" t="str">
        <f>CONCATENATE(TEXT($B$3,"00000"))&amp;"-"&amp;(VLOOKUP(I:I,'Location Legend'!A:B,2,FALSE))&amp;"-"&amp;(VLOOKUP(B:B,'Location Legend'!A:B,2,FALSE))&amp;"-"&amp;A141</f>
        <v>00853-PRT-KSK-24</v>
      </c>
      <c r="K141" s="141">
        <v>4</v>
      </c>
    </row>
    <row r="142" spans="1:11" hidden="1" x14ac:dyDescent="0.35">
      <c r="A142" s="107">
        <v>24</v>
      </c>
      <c r="B142" s="49" t="s">
        <v>184</v>
      </c>
      <c r="C142" s="49" t="s">
        <v>271</v>
      </c>
      <c r="D142" s="89"/>
      <c r="E142" s="67"/>
      <c r="F142" s="43"/>
      <c r="G142" s="48" t="e">
        <f>VLOOKUP(F:F,'Model-Vendor'!A:B,2,FALSE)</f>
        <v>#N/A</v>
      </c>
      <c r="H142" s="48" t="e">
        <f>VLOOKUP(F:F,'Model-Vendor'!A:C,3,FALSE)</f>
        <v>#N/A</v>
      </c>
      <c r="I142" s="48" t="s">
        <v>167</v>
      </c>
      <c r="J142" s="106" t="str">
        <f>CONCATENATE(TEXT($B$3,"00000"))&amp;"-"&amp;(VLOOKUP(I:I,'Location Legend'!A:B,2,FALSE))&amp;"-"&amp;(VLOOKUP(B:B,'Location Legend'!A:B,2,FALSE))&amp;"-"&amp;A142</f>
        <v>00853-UPS-KSK-24</v>
      </c>
      <c r="K142" s="141">
        <v>4</v>
      </c>
    </row>
    <row r="143" spans="1:11" hidden="1" x14ac:dyDescent="0.35">
      <c r="A143" s="107">
        <v>24</v>
      </c>
      <c r="B143" s="49" t="s">
        <v>184</v>
      </c>
      <c r="C143" s="49" t="s">
        <v>271</v>
      </c>
      <c r="D143" s="89"/>
      <c r="E143" s="67"/>
      <c r="F143" s="154" t="s">
        <v>237</v>
      </c>
      <c r="G143" s="48" t="str">
        <f>VLOOKUP(F:F,'Model-Vendor'!A:B,2,FALSE)</f>
        <v>010368-411E-WA</v>
      </c>
      <c r="H143" s="48" t="str">
        <f>VLOOKUP(F:F,'Model-Vendor'!A:C,3,FALSE)</f>
        <v>EQUINOX</v>
      </c>
      <c r="I143" s="48" t="s">
        <v>142</v>
      </c>
      <c r="J143" s="106" t="str">
        <f>CONCATENATE(TEXT($B$3,"00000"))&amp;"-"&amp;(VLOOKUP(I:I,'Location Legend'!A:B,2,FALSE))&amp;"-"&amp;(VLOOKUP(B:B,'Location Legend'!A:B,2,FALSE))&amp;"-"&amp;A143</f>
        <v>00853-PIN-KSK-24</v>
      </c>
      <c r="K143" s="141">
        <v>4</v>
      </c>
    </row>
    <row r="144" spans="1:11" ht="14.5" hidden="1" thickBot="1" x14ac:dyDescent="0.4">
      <c r="A144" s="152">
        <v>24</v>
      </c>
      <c r="B144" s="52" t="s">
        <v>184</v>
      </c>
      <c r="C144" s="52" t="s">
        <v>271</v>
      </c>
      <c r="D144" s="89"/>
      <c r="E144" s="67"/>
      <c r="F144" s="155" t="s">
        <v>78</v>
      </c>
      <c r="G144" s="50" t="str">
        <f>VLOOKUP(F:F,'Model-Vendor'!A:B,2,FALSE)</f>
        <v>ELNBY-SAFE-WA</v>
      </c>
      <c r="H144" s="50" t="str">
        <f>VLOOKUP(F:F,'Model-Vendor'!A:C,3,FALSE)</f>
        <v>ELLENBY</v>
      </c>
      <c r="I144" s="50" t="s">
        <v>150</v>
      </c>
      <c r="J144" s="106" t="str">
        <f>CONCATENATE(TEXT($B$3,"00000"))&amp;"-"&amp;(VLOOKUP(I:I,'Location Legend'!A:B,2,FALSE))&amp;"-"&amp;(VLOOKUP(B:B,'Location Legend'!A:B,2,FALSE))&amp;"-"&amp;A144</f>
        <v>00853-SAF-KSK-24</v>
      </c>
      <c r="K144" s="141">
        <v>4</v>
      </c>
    </row>
    <row r="145" spans="1:11" ht="14.5" thickBot="1" x14ac:dyDescent="0.4">
      <c r="A145" s="156"/>
      <c r="B145" s="5"/>
      <c r="C145" s="5"/>
      <c r="D145" s="74"/>
      <c r="E145" s="74"/>
      <c r="F145" s="197" t="s">
        <v>294</v>
      </c>
      <c r="G145" s="144"/>
      <c r="H145" s="144"/>
      <c r="I145" s="144"/>
      <c r="J145" s="144"/>
      <c r="K145" s="145"/>
    </row>
    <row r="146" spans="1:11" x14ac:dyDescent="0.35">
      <c r="A146" s="153" t="s">
        <v>248</v>
      </c>
      <c r="B146" s="45" t="s">
        <v>180</v>
      </c>
      <c r="C146" s="45" t="s">
        <v>271</v>
      </c>
      <c r="D146" s="89" t="s">
        <v>447</v>
      </c>
      <c r="E146" s="67" t="s">
        <v>448</v>
      </c>
      <c r="F146" s="65" t="s">
        <v>262</v>
      </c>
      <c r="G146" s="44" t="str">
        <f>VLOOKUP(F:F,'Model-Vendor'!A:B,2,FALSE)</f>
        <v>IBM-4810-E50-WA</v>
      </c>
      <c r="H146" s="44" t="str">
        <f>VLOOKUP(F:F,'Model-Vendor'!A:C,3,FALSE)</f>
        <v>IBM</v>
      </c>
      <c r="I146" s="44" t="s">
        <v>108</v>
      </c>
      <c r="J146" s="106" t="str">
        <f>CONCATENATE(TEXT($B$3,"00000"))&amp;"-"&amp;(VLOOKUP(I:I,'Location Legend'!A:B,2,FALSE))&amp;"-"&amp;(VLOOKUP(B:B,'Location Legend'!A:B,2,FALSE))&amp;"-"&amp;A146</f>
        <v>00853-CAT-DEL-01</v>
      </c>
      <c r="K146" s="136">
        <v>4</v>
      </c>
    </row>
    <row r="147" spans="1:11" x14ac:dyDescent="0.35">
      <c r="A147" s="107" t="s">
        <v>248</v>
      </c>
      <c r="B147" s="49" t="s">
        <v>180</v>
      </c>
      <c r="C147" s="49" t="s">
        <v>271</v>
      </c>
      <c r="D147" s="89" t="s">
        <v>443</v>
      </c>
      <c r="E147" s="67" t="s">
        <v>444</v>
      </c>
      <c r="F147" s="43" t="s">
        <v>68</v>
      </c>
      <c r="G147" s="48" t="str">
        <f>VLOOKUP(F:F,'Model-Vendor'!A:B,2,FALSE)</f>
        <v>1717L-WA</v>
      </c>
      <c r="H147" s="48" t="str">
        <f>VLOOKUP(F:F,'Model-Vendor'!A:C,3,FALSE)</f>
        <v>ELO</v>
      </c>
      <c r="I147" s="48" t="s">
        <v>199</v>
      </c>
      <c r="J147" s="106" t="str">
        <f>CONCATENATE(TEXT($B$3,"00000"))&amp;"-"&amp;(VLOOKUP(I:I,'Location Legend'!A:B,2,FALSE))&amp;"-"&amp;(VLOOKUP(B:B,'Location Legend'!A:B,2,FALSE))&amp;"-"&amp;A147</f>
        <v>00853-ELO-DEL-01</v>
      </c>
      <c r="K147" s="137">
        <v>4</v>
      </c>
    </row>
    <row r="148" spans="1:11" x14ac:dyDescent="0.35">
      <c r="A148" s="107" t="s">
        <v>248</v>
      </c>
      <c r="B148" s="49" t="s">
        <v>180</v>
      </c>
      <c r="C148" s="49" t="s">
        <v>271</v>
      </c>
      <c r="D148" s="89"/>
      <c r="E148" s="67"/>
      <c r="F148" s="49" t="s">
        <v>226</v>
      </c>
      <c r="G148" s="48" t="str">
        <f>VLOOKUP(F:F,'Model-Vendor'!A:B,2,FALSE)</f>
        <v>C31C636084-WA</v>
      </c>
      <c r="H148" s="48" t="str">
        <f>VLOOKUP(F:F,'Model-Vendor'!A:C,3,FALSE)</f>
        <v>EPSON</v>
      </c>
      <c r="I148" s="48" t="s">
        <v>196</v>
      </c>
      <c r="J148" s="106" t="str">
        <f>CONCATENATE(TEXT($B$3,"00000"))&amp;"-"&amp;(VLOOKUP(I:I,'Location Legend'!A:B,2,FALSE))&amp;"-"&amp;(VLOOKUP(B:B,'Location Legend'!A:B,2,FALSE))&amp;"-"&amp;A148</f>
        <v>00853-DPT-DEL-01</v>
      </c>
      <c r="K148" s="137">
        <v>4</v>
      </c>
    </row>
    <row r="149" spans="1:11" ht="14.5" thickBot="1" x14ac:dyDescent="0.4">
      <c r="A149" s="152" t="s">
        <v>248</v>
      </c>
      <c r="B149" s="52" t="s">
        <v>180</v>
      </c>
      <c r="C149" s="52" t="s">
        <v>271</v>
      </c>
      <c r="D149" s="176"/>
      <c r="E149" s="177"/>
      <c r="F149" s="166"/>
      <c r="G149" s="50" t="e">
        <f>VLOOKUP(F:F,'Model-Vendor'!A:B,2,FALSE)</f>
        <v>#N/A</v>
      </c>
      <c r="H149" s="50" t="e">
        <f>VLOOKUP(F:F,'Model-Vendor'!A:C,3,FALSE)</f>
        <v>#N/A</v>
      </c>
      <c r="I149" s="50" t="s">
        <v>167</v>
      </c>
      <c r="J149" s="133" t="str">
        <f>CONCATENATE(TEXT($B$3,"00000"))&amp;"-"&amp;(VLOOKUP(I:I,'Location Legend'!A:B,2,FALSE))&amp;"-"&amp;(VLOOKUP(B:B,'Location Legend'!A:B,2,FALSE))&amp;"-"&amp;A149</f>
        <v>00853-UPS-DEL-01</v>
      </c>
      <c r="K149" s="146">
        <v>4</v>
      </c>
    </row>
    <row r="150" spans="1:11" x14ac:dyDescent="0.35">
      <c r="A150" s="153" t="s">
        <v>249</v>
      </c>
      <c r="B150" s="45" t="s">
        <v>180</v>
      </c>
      <c r="C150" s="45" t="s">
        <v>271</v>
      </c>
      <c r="D150" s="90" t="s">
        <v>449</v>
      </c>
      <c r="E150" s="70" t="s">
        <v>450</v>
      </c>
      <c r="F150" s="65" t="s">
        <v>262</v>
      </c>
      <c r="G150" s="44" t="str">
        <f>VLOOKUP(F:F,'Model-Vendor'!A:B,2,FALSE)</f>
        <v>IBM-4810-E50-WA</v>
      </c>
      <c r="H150" s="44" t="str">
        <f>VLOOKUP(F:F,'Model-Vendor'!A:C,3,FALSE)</f>
        <v>IBM</v>
      </c>
      <c r="I150" s="44" t="s">
        <v>108</v>
      </c>
      <c r="J150" s="132" t="str">
        <f>CONCATENATE(TEXT($B$3,"00000"))&amp;"-"&amp;(VLOOKUP(I:I,'Location Legend'!A:B,2,FALSE))&amp;"-"&amp;(VLOOKUP(B:B,'Location Legend'!A:B,2,FALSE))&amp;"-"&amp;A150</f>
        <v>00853-CAT-DEL-02</v>
      </c>
      <c r="K150" s="136">
        <v>4</v>
      </c>
    </row>
    <row r="151" spans="1:11" x14ac:dyDescent="0.35">
      <c r="A151" s="107" t="s">
        <v>249</v>
      </c>
      <c r="B151" s="49" t="s">
        <v>180</v>
      </c>
      <c r="C151" s="49" t="s">
        <v>271</v>
      </c>
      <c r="D151" s="89" t="s">
        <v>445</v>
      </c>
      <c r="E151" s="67" t="s">
        <v>446</v>
      </c>
      <c r="F151" s="43" t="s">
        <v>68</v>
      </c>
      <c r="G151" s="48" t="str">
        <f>VLOOKUP(F:F,'Model-Vendor'!A:B,2,FALSE)</f>
        <v>1717L-WA</v>
      </c>
      <c r="H151" s="48" t="str">
        <f>VLOOKUP(F:F,'Model-Vendor'!A:C,3,FALSE)</f>
        <v>ELO</v>
      </c>
      <c r="I151" s="48" t="s">
        <v>199</v>
      </c>
      <c r="J151" s="106" t="str">
        <f>CONCATENATE(TEXT($B$3,"00000"))&amp;"-"&amp;(VLOOKUP(I:I,'Location Legend'!A:B,2,FALSE))&amp;"-"&amp;(VLOOKUP(B:B,'Location Legend'!A:B,2,FALSE))&amp;"-"&amp;A151</f>
        <v>00853-ELO-DEL-02</v>
      </c>
      <c r="K151" s="137">
        <v>4</v>
      </c>
    </row>
    <row r="152" spans="1:11" x14ac:dyDescent="0.35">
      <c r="A152" s="107" t="s">
        <v>249</v>
      </c>
      <c r="B152" s="49" t="s">
        <v>180</v>
      </c>
      <c r="C152" s="49" t="s">
        <v>271</v>
      </c>
      <c r="D152" s="89"/>
      <c r="E152" s="67"/>
      <c r="F152" s="49" t="s">
        <v>226</v>
      </c>
      <c r="G152" s="48" t="str">
        <f>VLOOKUP(F:F,'Model-Vendor'!A:B,2,FALSE)</f>
        <v>C31C636084-WA</v>
      </c>
      <c r="H152" s="48" t="str">
        <f>VLOOKUP(F:F,'Model-Vendor'!A:C,3,FALSE)</f>
        <v>EPSON</v>
      </c>
      <c r="I152" s="48" t="s">
        <v>196</v>
      </c>
      <c r="J152" s="106" t="str">
        <f>CONCATENATE(TEXT($B$3,"00000"))&amp;"-"&amp;(VLOOKUP(I:I,'Location Legend'!A:B,2,FALSE))&amp;"-"&amp;(VLOOKUP(B:B,'Location Legend'!A:B,2,FALSE))&amp;"-"&amp;A152</f>
        <v>00853-DPT-DEL-02</v>
      </c>
      <c r="K152" s="137">
        <v>4</v>
      </c>
    </row>
    <row r="153" spans="1:11" ht="14.5" thickBot="1" x14ac:dyDescent="0.4">
      <c r="A153" s="152" t="s">
        <v>249</v>
      </c>
      <c r="B153" s="52" t="s">
        <v>180</v>
      </c>
      <c r="C153" s="52" t="s">
        <v>271</v>
      </c>
      <c r="D153" s="176"/>
      <c r="E153" s="177"/>
      <c r="F153" s="166"/>
      <c r="G153" s="50" t="e">
        <f>VLOOKUP(F:F,'Model-Vendor'!A:B,2,FALSE)</f>
        <v>#N/A</v>
      </c>
      <c r="H153" s="50" t="e">
        <f>VLOOKUP(F:F,'Model-Vendor'!A:C,3,FALSE)</f>
        <v>#N/A</v>
      </c>
      <c r="I153" s="50" t="s">
        <v>167</v>
      </c>
      <c r="J153" s="133" t="str">
        <f>CONCATENATE(TEXT($B$3,"00000"))&amp;"-"&amp;(VLOOKUP(I:I,'Location Legend'!A:B,2,FALSE))&amp;"-"&amp;(VLOOKUP(B:B,'Location Legend'!A:B,2,FALSE))&amp;"-"&amp;A153</f>
        <v>00853-UPS-DEL-02</v>
      </c>
      <c r="K153" s="146">
        <v>4</v>
      </c>
    </row>
    <row r="154" spans="1:11" x14ac:dyDescent="0.35">
      <c r="A154" s="153" t="s">
        <v>250</v>
      </c>
      <c r="B154" s="45" t="s">
        <v>180</v>
      </c>
      <c r="C154" s="45" t="s">
        <v>271</v>
      </c>
      <c r="D154" s="90"/>
      <c r="E154" s="70"/>
      <c r="F154" s="65" t="s">
        <v>262</v>
      </c>
      <c r="G154" s="44" t="str">
        <f>VLOOKUP(F:F,'Model-Vendor'!A:B,2,FALSE)</f>
        <v>IBM-4810-E50-WA</v>
      </c>
      <c r="H154" s="44" t="str">
        <f>VLOOKUP(F:F,'Model-Vendor'!A:C,3,FALSE)</f>
        <v>IBM</v>
      </c>
      <c r="I154" s="44" t="s">
        <v>108</v>
      </c>
      <c r="J154" s="132" t="str">
        <f>CONCATENATE(TEXT($B$3,"00000"))&amp;"-"&amp;(VLOOKUP(I:I,'Location Legend'!A:B,2,FALSE))&amp;"-"&amp;(VLOOKUP(B:B,'Location Legend'!A:B,2,FALSE))&amp;"-"&amp;A154</f>
        <v>00853-CAT-DEL-03</v>
      </c>
      <c r="K154" s="136">
        <v>4</v>
      </c>
    </row>
    <row r="155" spans="1:11" x14ac:dyDescent="0.35">
      <c r="A155" s="107" t="s">
        <v>250</v>
      </c>
      <c r="B155" s="49" t="s">
        <v>180</v>
      </c>
      <c r="C155" s="49" t="s">
        <v>271</v>
      </c>
      <c r="D155" s="89" t="s">
        <v>441</v>
      </c>
      <c r="E155" s="67" t="s">
        <v>442</v>
      </c>
      <c r="F155" s="43" t="s">
        <v>68</v>
      </c>
      <c r="G155" s="48" t="str">
        <f>VLOOKUP(F:F,'Model-Vendor'!A:B,2,FALSE)</f>
        <v>1717L-WA</v>
      </c>
      <c r="H155" s="48" t="str">
        <f>VLOOKUP(F:F,'Model-Vendor'!A:C,3,FALSE)</f>
        <v>ELO</v>
      </c>
      <c r="I155" s="48" t="s">
        <v>199</v>
      </c>
      <c r="J155" s="106" t="str">
        <f>CONCATENATE(TEXT($B$3,"00000"))&amp;"-"&amp;(VLOOKUP(I:I,'Location Legend'!A:B,2,FALSE))&amp;"-"&amp;(VLOOKUP(B:B,'Location Legend'!A:B,2,FALSE))&amp;"-"&amp;A155</f>
        <v>00853-ELO-DEL-03</v>
      </c>
      <c r="K155" s="137">
        <v>4</v>
      </c>
    </row>
    <row r="156" spans="1:11" x14ac:dyDescent="0.35">
      <c r="A156" s="107" t="s">
        <v>250</v>
      </c>
      <c r="B156" s="49" t="s">
        <v>180</v>
      </c>
      <c r="C156" s="49" t="s">
        <v>271</v>
      </c>
      <c r="D156" s="89" t="s">
        <v>451</v>
      </c>
      <c r="E156" s="67" t="s">
        <v>452</v>
      </c>
      <c r="F156" s="49" t="s">
        <v>226</v>
      </c>
      <c r="G156" s="48" t="str">
        <f>VLOOKUP(F:F,'Model-Vendor'!A:B,2,FALSE)</f>
        <v>C31C636084-WA</v>
      </c>
      <c r="H156" s="48" t="str">
        <f>VLOOKUP(F:F,'Model-Vendor'!A:C,3,FALSE)</f>
        <v>EPSON</v>
      </c>
      <c r="I156" s="48" t="s">
        <v>196</v>
      </c>
      <c r="J156" s="106" t="str">
        <f>CONCATENATE(TEXT($B$3,"00000"))&amp;"-"&amp;(VLOOKUP(I:I,'Location Legend'!A:B,2,FALSE))&amp;"-"&amp;(VLOOKUP(B:B,'Location Legend'!A:B,2,FALSE))&amp;"-"&amp;A156</f>
        <v>00853-DPT-DEL-03</v>
      </c>
      <c r="K156" s="137">
        <v>4</v>
      </c>
    </row>
    <row r="157" spans="1:11" ht="14.5" thickBot="1" x14ac:dyDescent="0.4">
      <c r="A157" s="152" t="s">
        <v>250</v>
      </c>
      <c r="B157" s="52" t="s">
        <v>180</v>
      </c>
      <c r="C157" s="52" t="s">
        <v>271</v>
      </c>
      <c r="D157" s="176"/>
      <c r="E157" s="177"/>
      <c r="F157" s="166"/>
      <c r="G157" s="50" t="e">
        <f>VLOOKUP(F:F,'Model-Vendor'!A:B,2,FALSE)</f>
        <v>#N/A</v>
      </c>
      <c r="H157" s="50" t="e">
        <f>VLOOKUP(F:F,'Model-Vendor'!A:C,3,FALSE)</f>
        <v>#N/A</v>
      </c>
      <c r="I157" s="50" t="s">
        <v>167</v>
      </c>
      <c r="J157" s="133" t="str">
        <f>CONCATENATE(TEXT($B$3,"00000"))&amp;"-"&amp;(VLOOKUP(I:I,'Location Legend'!A:B,2,FALSE))&amp;"-"&amp;(VLOOKUP(B:B,'Location Legend'!A:B,2,FALSE))&amp;"-"&amp;A157</f>
        <v>00853-UPS-DEL-03</v>
      </c>
      <c r="K157" s="146">
        <v>4</v>
      </c>
    </row>
    <row r="158" spans="1:11" x14ac:dyDescent="0.35">
      <c r="A158" s="153" t="s">
        <v>251</v>
      </c>
      <c r="B158" s="45" t="s">
        <v>180</v>
      </c>
      <c r="C158" s="45" t="s">
        <v>271</v>
      </c>
      <c r="D158" s="90"/>
      <c r="E158" s="70"/>
      <c r="F158" s="65" t="s">
        <v>262</v>
      </c>
      <c r="G158" s="44" t="str">
        <f>VLOOKUP(F:F,'Model-Vendor'!A:B,2,FALSE)</f>
        <v>IBM-4810-E50-WA</v>
      </c>
      <c r="H158" s="44" t="str">
        <f>VLOOKUP(F:F,'Model-Vendor'!A:C,3,FALSE)</f>
        <v>IBM</v>
      </c>
      <c r="I158" s="44" t="s">
        <v>108</v>
      </c>
      <c r="J158" s="132" t="str">
        <f>CONCATENATE(TEXT($B$3,"00000"))&amp;"-"&amp;(VLOOKUP(I:I,'Location Legend'!A:B,2,FALSE))&amp;"-"&amp;(VLOOKUP(B:B,'Location Legend'!A:B,2,FALSE))&amp;"-"&amp;A158</f>
        <v>00853-CAT-DEL-04</v>
      </c>
      <c r="K158" s="136">
        <v>4</v>
      </c>
    </row>
    <row r="159" spans="1:11" x14ac:dyDescent="0.35">
      <c r="A159" s="107" t="s">
        <v>251</v>
      </c>
      <c r="B159" s="49" t="s">
        <v>180</v>
      </c>
      <c r="C159" s="49" t="s">
        <v>271</v>
      </c>
      <c r="D159" s="89" t="s">
        <v>439</v>
      </c>
      <c r="E159" s="67" t="s">
        <v>440</v>
      </c>
      <c r="F159" s="43" t="s">
        <v>68</v>
      </c>
      <c r="G159" s="48" t="str">
        <f>VLOOKUP(F:F,'Model-Vendor'!A:B,2,FALSE)</f>
        <v>1717L-WA</v>
      </c>
      <c r="H159" s="48" t="str">
        <f>VLOOKUP(F:F,'Model-Vendor'!A:C,3,FALSE)</f>
        <v>ELO</v>
      </c>
      <c r="I159" s="48" t="s">
        <v>199</v>
      </c>
      <c r="J159" s="106" t="str">
        <f>CONCATENATE(TEXT($B$3,"00000"))&amp;"-"&amp;(VLOOKUP(I:I,'Location Legend'!A:B,2,FALSE))&amp;"-"&amp;(VLOOKUP(B:B,'Location Legend'!A:B,2,FALSE))&amp;"-"&amp;A159</f>
        <v>00853-ELO-DEL-04</v>
      </c>
      <c r="K159" s="137">
        <v>4</v>
      </c>
    </row>
    <row r="160" spans="1:11" x14ac:dyDescent="0.35">
      <c r="A160" s="107" t="s">
        <v>251</v>
      </c>
      <c r="B160" s="49" t="s">
        <v>180</v>
      </c>
      <c r="C160" s="49" t="s">
        <v>271</v>
      </c>
      <c r="D160" s="89" t="s">
        <v>453</v>
      </c>
      <c r="E160" s="67" t="s">
        <v>454</v>
      </c>
      <c r="F160" s="49" t="s">
        <v>226</v>
      </c>
      <c r="G160" s="48" t="str">
        <f>VLOOKUP(F:F,'Model-Vendor'!A:B,2,FALSE)</f>
        <v>C31C636084-WA</v>
      </c>
      <c r="H160" s="48" t="str">
        <f>VLOOKUP(F:F,'Model-Vendor'!A:C,3,FALSE)</f>
        <v>EPSON</v>
      </c>
      <c r="I160" s="48" t="s">
        <v>196</v>
      </c>
      <c r="J160" s="106" t="str">
        <f>CONCATENATE(TEXT($B$3,"00000"))&amp;"-"&amp;(VLOOKUP(I:I,'Location Legend'!A:B,2,FALSE))&amp;"-"&amp;(VLOOKUP(B:B,'Location Legend'!A:B,2,FALSE))&amp;"-"&amp;A160</f>
        <v>00853-DPT-DEL-04</v>
      </c>
      <c r="K160" s="137">
        <v>4</v>
      </c>
    </row>
    <row r="161" spans="1:11" ht="14.5" thickBot="1" x14ac:dyDescent="0.4">
      <c r="A161" s="152" t="s">
        <v>251</v>
      </c>
      <c r="B161" s="52" t="s">
        <v>180</v>
      </c>
      <c r="C161" s="52" t="s">
        <v>271</v>
      </c>
      <c r="D161" s="176"/>
      <c r="E161" s="177"/>
      <c r="F161" s="166"/>
      <c r="G161" s="50" t="e">
        <f>VLOOKUP(F:F,'Model-Vendor'!A:B,2,FALSE)</f>
        <v>#N/A</v>
      </c>
      <c r="H161" s="50" t="e">
        <f>VLOOKUP(F:F,'Model-Vendor'!A:C,3,FALSE)</f>
        <v>#N/A</v>
      </c>
      <c r="I161" s="50" t="s">
        <v>167</v>
      </c>
      <c r="J161" s="133" t="str">
        <f>CONCATENATE(TEXT($B$3,"00000"))&amp;"-"&amp;(VLOOKUP(I:I,'Location Legend'!A:B,2,FALSE))&amp;"-"&amp;(VLOOKUP(B:B,'Location Legend'!A:B,2,FALSE))&amp;"-"&amp;A161</f>
        <v>00853-UPS-DEL-04</v>
      </c>
      <c r="K161" s="146">
        <v>4</v>
      </c>
    </row>
    <row r="162" spans="1:11" x14ac:dyDescent="0.35">
      <c r="A162" s="153" t="s">
        <v>252</v>
      </c>
      <c r="B162" s="45" t="s">
        <v>180</v>
      </c>
      <c r="C162" s="45" t="s">
        <v>271</v>
      </c>
      <c r="D162" s="90"/>
      <c r="E162" s="70"/>
      <c r="F162" s="65"/>
      <c r="G162" s="44" t="e">
        <f>VLOOKUP(F:F,'Model-Vendor'!A:B,2,FALSE)</f>
        <v>#N/A</v>
      </c>
      <c r="H162" s="44" t="e">
        <f>VLOOKUP(F:F,'Model-Vendor'!A:C,3,FALSE)</f>
        <v>#N/A</v>
      </c>
      <c r="I162" s="44" t="s">
        <v>108</v>
      </c>
      <c r="J162" s="132" t="str">
        <f>CONCATENATE(TEXT($B$3,"00000"))&amp;"-"&amp;(VLOOKUP(I:I,'Location Legend'!A:B,2,FALSE))&amp;"-"&amp;(VLOOKUP(B:B,'Location Legend'!A:B,2,FALSE))&amp;"-"&amp;A162</f>
        <v>00853-CAT-DEL-05</v>
      </c>
      <c r="K162" s="136">
        <v>4</v>
      </c>
    </row>
    <row r="163" spans="1:11" x14ac:dyDescent="0.35">
      <c r="A163" s="107" t="s">
        <v>252</v>
      </c>
      <c r="B163" s="49" t="s">
        <v>180</v>
      </c>
      <c r="C163" s="49" t="s">
        <v>271</v>
      </c>
      <c r="D163" s="89"/>
      <c r="E163" s="67"/>
      <c r="F163" s="43"/>
      <c r="G163" s="48" t="e">
        <f>VLOOKUP(F:F,'Model-Vendor'!A:B,2,FALSE)</f>
        <v>#N/A</v>
      </c>
      <c r="H163" s="48" t="e">
        <f>VLOOKUP(F:F,'Model-Vendor'!A:C,3,FALSE)</f>
        <v>#N/A</v>
      </c>
      <c r="I163" s="48" t="s">
        <v>199</v>
      </c>
      <c r="J163" s="106" t="str">
        <f>CONCATENATE(TEXT($B$3,"00000"))&amp;"-"&amp;(VLOOKUP(I:I,'Location Legend'!A:B,2,FALSE))&amp;"-"&amp;(VLOOKUP(B:B,'Location Legend'!A:B,2,FALSE))&amp;"-"&amp;A163</f>
        <v>00853-ELO-DEL-05</v>
      </c>
      <c r="K163" s="137">
        <v>4</v>
      </c>
    </row>
    <row r="164" spans="1:11" x14ac:dyDescent="0.35">
      <c r="A164" s="107" t="s">
        <v>252</v>
      </c>
      <c r="B164" s="49" t="s">
        <v>180</v>
      </c>
      <c r="C164" s="49" t="s">
        <v>271</v>
      </c>
      <c r="D164" s="89"/>
      <c r="E164" s="67"/>
      <c r="F164" s="49" t="s">
        <v>226</v>
      </c>
      <c r="G164" s="48" t="str">
        <f>VLOOKUP(F:F,'Model-Vendor'!A:B,2,FALSE)</f>
        <v>C31C636084-WA</v>
      </c>
      <c r="H164" s="48" t="str">
        <f>VLOOKUP(F:F,'Model-Vendor'!A:C,3,FALSE)</f>
        <v>EPSON</v>
      </c>
      <c r="I164" s="48" t="s">
        <v>196</v>
      </c>
      <c r="J164" s="106" t="str">
        <f>CONCATENATE(TEXT($B$3,"00000"))&amp;"-"&amp;(VLOOKUP(I:I,'Location Legend'!A:B,2,FALSE))&amp;"-"&amp;(VLOOKUP(B:B,'Location Legend'!A:B,2,FALSE))&amp;"-"&amp;A164</f>
        <v>00853-DPT-DEL-05</v>
      </c>
      <c r="K164" s="137">
        <v>4</v>
      </c>
    </row>
    <row r="165" spans="1:11" ht="14.5" thickBot="1" x14ac:dyDescent="0.4">
      <c r="A165" s="152" t="s">
        <v>252</v>
      </c>
      <c r="B165" s="52" t="s">
        <v>180</v>
      </c>
      <c r="C165" s="52" t="s">
        <v>271</v>
      </c>
      <c r="D165" s="171"/>
      <c r="E165" s="172"/>
      <c r="F165" s="166"/>
      <c r="G165" s="50" t="e">
        <f>VLOOKUP(F:F,'Model-Vendor'!A:B,2,FALSE)</f>
        <v>#N/A</v>
      </c>
      <c r="H165" s="50" t="e">
        <f>VLOOKUP(F:F,'Model-Vendor'!A:C,3,FALSE)</f>
        <v>#N/A</v>
      </c>
      <c r="I165" s="50" t="s">
        <v>167</v>
      </c>
      <c r="J165" s="133" t="str">
        <f>CONCATENATE(TEXT($B$3,"00000"))&amp;"-"&amp;(VLOOKUP(I:I,'Location Legend'!A:B,2,FALSE))&amp;"-"&amp;(VLOOKUP(B:B,'Location Legend'!A:B,2,FALSE))&amp;"-"&amp;A165</f>
        <v>00853-UPS-DEL-05</v>
      </c>
      <c r="K165" s="146">
        <v>4</v>
      </c>
    </row>
    <row r="166" spans="1:11" x14ac:dyDescent="0.35">
      <c r="A166" s="153" t="s">
        <v>253</v>
      </c>
      <c r="B166" s="45" t="s">
        <v>180</v>
      </c>
      <c r="C166" s="45" t="s">
        <v>271</v>
      </c>
      <c r="D166" s="90"/>
      <c r="E166" s="70"/>
      <c r="F166" s="65"/>
      <c r="G166" s="44" t="e">
        <f>VLOOKUP(F:F,'Model-Vendor'!A:B,2,FALSE)</f>
        <v>#N/A</v>
      </c>
      <c r="H166" s="44" t="e">
        <f>VLOOKUP(F:F,'Model-Vendor'!A:C,3,FALSE)</f>
        <v>#N/A</v>
      </c>
      <c r="I166" s="44" t="s">
        <v>108</v>
      </c>
      <c r="J166" s="132" t="str">
        <f>CONCATENATE(TEXT($B$3,"00000"))&amp;"-"&amp;(VLOOKUP(I:I,'Location Legend'!A:B,2,FALSE))&amp;"-"&amp;(VLOOKUP(B:B,'Location Legend'!A:B,2,FALSE))&amp;"-"&amp;A166</f>
        <v>00853-CAT-DEL-06</v>
      </c>
      <c r="K166" s="136">
        <v>4</v>
      </c>
    </row>
    <row r="167" spans="1:11" x14ac:dyDescent="0.35">
      <c r="A167" s="107" t="s">
        <v>253</v>
      </c>
      <c r="B167" s="49" t="s">
        <v>180</v>
      </c>
      <c r="C167" s="49" t="s">
        <v>271</v>
      </c>
      <c r="D167" s="89"/>
      <c r="E167" s="67"/>
      <c r="F167" s="43"/>
      <c r="G167" s="48" t="e">
        <f>VLOOKUP(F:F,'Model-Vendor'!A:B,2,FALSE)</f>
        <v>#N/A</v>
      </c>
      <c r="H167" s="48" t="e">
        <f>VLOOKUP(F:F,'Model-Vendor'!A:C,3,FALSE)</f>
        <v>#N/A</v>
      </c>
      <c r="I167" s="48" t="s">
        <v>199</v>
      </c>
      <c r="J167" s="106" t="str">
        <f>CONCATENATE(TEXT($B$3,"00000"))&amp;"-"&amp;(VLOOKUP(I:I,'Location Legend'!A:B,2,FALSE))&amp;"-"&amp;(VLOOKUP(B:B,'Location Legend'!A:B,2,FALSE))&amp;"-"&amp;A167</f>
        <v>00853-ELO-DEL-06</v>
      </c>
      <c r="K167" s="137">
        <v>4</v>
      </c>
    </row>
    <row r="168" spans="1:11" x14ac:dyDescent="0.35">
      <c r="A168" s="107" t="s">
        <v>253</v>
      </c>
      <c r="B168" s="49" t="s">
        <v>180</v>
      </c>
      <c r="C168" s="49" t="s">
        <v>271</v>
      </c>
      <c r="D168" s="89"/>
      <c r="E168" s="67"/>
      <c r="F168" s="49" t="s">
        <v>226</v>
      </c>
      <c r="G168" s="48" t="str">
        <f>VLOOKUP(F:F,'Model-Vendor'!A:B,2,FALSE)</f>
        <v>C31C636084-WA</v>
      </c>
      <c r="H168" s="48" t="str">
        <f>VLOOKUP(F:F,'Model-Vendor'!A:C,3,FALSE)</f>
        <v>EPSON</v>
      </c>
      <c r="I168" s="48" t="s">
        <v>196</v>
      </c>
      <c r="J168" s="106" t="str">
        <f>CONCATENATE(TEXT($B$3,"00000"))&amp;"-"&amp;(VLOOKUP(I:I,'Location Legend'!A:B,2,FALSE))&amp;"-"&amp;(VLOOKUP(B:B,'Location Legend'!A:B,2,FALSE))&amp;"-"&amp;A168</f>
        <v>00853-DPT-DEL-06</v>
      </c>
      <c r="K168" s="137">
        <v>4</v>
      </c>
    </row>
    <row r="169" spans="1:11" s="269" customFormat="1" ht="14.5" thickBot="1" x14ac:dyDescent="0.4">
      <c r="A169" s="157" t="s">
        <v>253</v>
      </c>
      <c r="B169" s="131" t="s">
        <v>180</v>
      </c>
      <c r="C169" s="131" t="s">
        <v>271</v>
      </c>
      <c r="D169" s="171"/>
      <c r="E169" s="172"/>
      <c r="F169" s="167"/>
      <c r="G169" s="130" t="e">
        <f>VLOOKUP(F:F,'Model-Vendor'!A:B,2,FALSE)</f>
        <v>#N/A</v>
      </c>
      <c r="H169" s="130" t="e">
        <f>VLOOKUP(F:F,'Model-Vendor'!A:C,3,FALSE)</f>
        <v>#N/A</v>
      </c>
      <c r="I169" s="130" t="s">
        <v>167</v>
      </c>
      <c r="J169" s="133" t="str">
        <f>CONCATENATE(TEXT($B$3,"00000"))&amp;"-"&amp;(VLOOKUP(I:I,'Location Legend'!A:B,2,FALSE))&amp;"-"&amp;(VLOOKUP(B:B,'Location Legend'!A:B,2,FALSE))&amp;"-"&amp;A169</f>
        <v>00853-UPS-DEL-06</v>
      </c>
      <c r="K169" s="147">
        <v>4</v>
      </c>
    </row>
    <row r="170" spans="1:11" ht="14.5" thickBot="1" x14ac:dyDescent="0.4">
      <c r="A170" s="156"/>
      <c r="B170" s="5"/>
      <c r="C170" s="5"/>
      <c r="D170" s="5"/>
      <c r="E170" s="5"/>
      <c r="F170" s="197" t="s">
        <v>295</v>
      </c>
      <c r="G170" s="144"/>
      <c r="H170" s="144"/>
      <c r="I170" s="144"/>
      <c r="J170" s="144"/>
      <c r="K170" s="145"/>
    </row>
    <row r="171" spans="1:11" x14ac:dyDescent="0.35">
      <c r="A171" s="153">
        <v>200</v>
      </c>
      <c r="B171" s="45" t="s">
        <v>180</v>
      </c>
      <c r="C171" s="45" t="s">
        <v>271</v>
      </c>
      <c r="D171" s="89" t="s">
        <v>466</v>
      </c>
      <c r="E171" s="67" t="s">
        <v>474</v>
      </c>
      <c r="F171" s="65" t="s">
        <v>231</v>
      </c>
      <c r="G171" s="44" t="str">
        <f>VLOOKUP(F:F,'Model-Vendor'!A:B,2,FALSE)</f>
        <v>E170S-E177FP-WA</v>
      </c>
      <c r="H171" s="44" t="str">
        <f>VLOOKUP(F:F,'Model-Vendor'!A:C,3,FALSE)</f>
        <v>DELL</v>
      </c>
      <c r="I171" s="44" t="s">
        <v>132</v>
      </c>
      <c r="J171" s="106" t="str">
        <f>CONCATENATE(TEXT($B$3,"00000"))&amp;"-"&amp;(VLOOKUP(I:I,'Location Legend'!A:B,2,FALSE))&amp;"-"&amp;(VLOOKUP(B:B,'Location Legend'!A:B,2,FALSE))&amp;"-"&amp;A171</f>
        <v>00853-MON-DEL-200</v>
      </c>
      <c r="K171" s="136">
        <v>4</v>
      </c>
    </row>
    <row r="172" spans="1:11" x14ac:dyDescent="0.35">
      <c r="A172" s="107" t="s">
        <v>186</v>
      </c>
      <c r="B172" s="49" t="str">
        <f>B171</f>
        <v>DELI</v>
      </c>
      <c r="C172" s="49" t="s">
        <v>271</v>
      </c>
      <c r="D172" s="89" t="s">
        <v>467</v>
      </c>
      <c r="E172" s="67" t="s">
        <v>475</v>
      </c>
      <c r="F172" s="43" t="s">
        <v>231</v>
      </c>
      <c r="G172" s="48" t="str">
        <f>VLOOKUP(F:F,'Model-Vendor'!A:B,2,FALSE)</f>
        <v>E170S-E177FP-WA</v>
      </c>
      <c r="H172" s="48" t="str">
        <f>VLOOKUP(F:F,'Model-Vendor'!A:C,3,FALSE)</f>
        <v>DELL</v>
      </c>
      <c r="I172" s="48" t="s">
        <v>132</v>
      </c>
      <c r="J172" s="106" t="str">
        <f>CONCATENATE(TEXT($B$3,"00000"))&amp;"-"&amp;(VLOOKUP(I:I,'Location Legend'!A:B,2,FALSE))&amp;"-"&amp;(VLOOKUP(B:B,'Location Legend'!A:B,2,FALSE))&amp;"-"&amp;A172</f>
        <v>00853-MON-DEL-200A</v>
      </c>
      <c r="K172" s="137">
        <v>4</v>
      </c>
    </row>
    <row r="173" spans="1:11" x14ac:dyDescent="0.35">
      <c r="A173" s="107">
        <v>200</v>
      </c>
      <c r="B173" s="49" t="str">
        <f>B171</f>
        <v>DELI</v>
      </c>
      <c r="C173" s="49" t="s">
        <v>271</v>
      </c>
      <c r="D173" s="89" t="s">
        <v>482</v>
      </c>
      <c r="E173" s="67" t="s">
        <v>493</v>
      </c>
      <c r="F173" s="43" t="s">
        <v>230</v>
      </c>
      <c r="G173" s="48" t="str">
        <f>VLOOKUP(F:F,'Model-Vendor'!A:B,2,FALSE)</f>
        <v>P0823-F001-WA</v>
      </c>
      <c r="H173" s="48" t="str">
        <f>VLOOKUP(F:F,'Model-Vendor'!A:C,3,FALSE)</f>
        <v>NCR</v>
      </c>
      <c r="I173" s="48" t="s">
        <v>126</v>
      </c>
      <c r="J173" s="106" t="str">
        <f>CONCATENATE(TEXT($B$3,"00000"))&amp;"-"&amp;(VLOOKUP(I:I,'Location Legend'!A:B,2,FALSE))&amp;"-"&amp;(VLOOKUP(B:B,'Location Legend'!A:B,2,FALSE))&amp;"-"&amp;A173</f>
        <v>00853-KWI-DEL-200</v>
      </c>
      <c r="K173" s="137">
        <v>4</v>
      </c>
    </row>
    <row r="174" spans="1:11" x14ac:dyDescent="0.35">
      <c r="A174" s="107">
        <v>200</v>
      </c>
      <c r="B174" s="49" t="str">
        <f>B171</f>
        <v>DELI</v>
      </c>
      <c r="C174" s="49" t="s">
        <v>271</v>
      </c>
      <c r="D174" s="89" t="s">
        <v>483</v>
      </c>
      <c r="E174" s="67" t="s">
        <v>494</v>
      </c>
      <c r="F174" s="49" t="s">
        <v>222</v>
      </c>
      <c r="G174" s="48" t="str">
        <f>VLOOKUP(F:F,'Model-Vendor'!A:B,2,FALSE)</f>
        <v>P822F001-WA</v>
      </c>
      <c r="H174" s="48" t="str">
        <f>VLOOKUP(F:F,'Model-Vendor'!A:C,3,FALSE)</f>
        <v>NCR</v>
      </c>
      <c r="I174" s="48" t="s">
        <v>59</v>
      </c>
      <c r="J174" s="106" t="str">
        <f>CONCATENATE(TEXT($B$3,"00000"))&amp;"-"&amp;(VLOOKUP(I:I,'Location Legend'!A:B,2,FALSE))&amp;"-"&amp;(VLOOKUP(B:B,'Location Legend'!A:B,2,FALSE))&amp;"-"&amp;A174</f>
        <v>00853-BMP-DEL-200</v>
      </c>
      <c r="K174" s="137">
        <v>4</v>
      </c>
    </row>
    <row r="175" spans="1:11" ht="14.5" thickBot="1" x14ac:dyDescent="0.4">
      <c r="A175" s="152">
        <v>200</v>
      </c>
      <c r="B175" s="52" t="str">
        <f>B171</f>
        <v>DELI</v>
      </c>
      <c r="C175" s="52" t="s">
        <v>271</v>
      </c>
      <c r="D175" s="176" t="s">
        <v>484</v>
      </c>
      <c r="E175" s="177" t="s">
        <v>495</v>
      </c>
      <c r="F175" s="158" t="s">
        <v>226</v>
      </c>
      <c r="G175" s="50" t="str">
        <f>VLOOKUP(F:F,'Model-Vendor'!A:B,2,FALSE)</f>
        <v>C31C636084-WA</v>
      </c>
      <c r="H175" s="50" t="str">
        <f>VLOOKUP(F:F,'Model-Vendor'!A:C,3,FALSE)</f>
        <v>EPSON</v>
      </c>
      <c r="I175" s="50" t="s">
        <v>196</v>
      </c>
      <c r="J175" s="133" t="str">
        <f>CONCATENATE(TEXT($B$3,"00000"))&amp;"-"&amp;(VLOOKUP(I:I,'Location Legend'!A:B,2,FALSE))&amp;"-"&amp;(VLOOKUP(B:B,'Location Legend'!A:B,2,FALSE))&amp;"-"&amp;A175</f>
        <v>00853-DPT-DEL-200</v>
      </c>
      <c r="K175" s="146">
        <v>4</v>
      </c>
    </row>
    <row r="176" spans="1:11" x14ac:dyDescent="0.35">
      <c r="A176" s="153">
        <v>201</v>
      </c>
      <c r="B176" s="45" t="s">
        <v>180</v>
      </c>
      <c r="C176" s="45" t="s">
        <v>271</v>
      </c>
      <c r="D176" s="90" t="s">
        <v>468</v>
      </c>
      <c r="E176" s="70" t="s">
        <v>476</v>
      </c>
      <c r="F176" s="65" t="s">
        <v>231</v>
      </c>
      <c r="G176" s="44" t="str">
        <f>VLOOKUP(F:F,'Model-Vendor'!A:B,2,FALSE)</f>
        <v>E170S-E177FP-WA</v>
      </c>
      <c r="H176" s="44" t="str">
        <f>VLOOKUP(F:F,'Model-Vendor'!A:C,3,FALSE)</f>
        <v>DELL</v>
      </c>
      <c r="I176" s="44" t="s">
        <v>132</v>
      </c>
      <c r="J176" s="132" t="str">
        <f>CONCATENATE(TEXT($B$3,"00000"))&amp;"-"&amp;(VLOOKUP(I:I,'Location Legend'!A:B,2,FALSE))&amp;"-"&amp;(VLOOKUP(B:B,'Location Legend'!A:B,2,FALSE))&amp;"-"&amp;A176</f>
        <v>00853-MON-DEL-201</v>
      </c>
      <c r="K176" s="136">
        <v>4</v>
      </c>
    </row>
    <row r="177" spans="1:11" x14ac:dyDescent="0.35">
      <c r="A177" s="107" t="s">
        <v>187</v>
      </c>
      <c r="B177" s="49" t="str">
        <f>B176</f>
        <v>DELI</v>
      </c>
      <c r="C177" s="49" t="s">
        <v>271</v>
      </c>
      <c r="D177" s="89" t="s">
        <v>469</v>
      </c>
      <c r="E177" s="67" t="s">
        <v>477</v>
      </c>
      <c r="F177" s="43" t="s">
        <v>231</v>
      </c>
      <c r="G177" s="48" t="str">
        <f>VLOOKUP(F:F,'Model-Vendor'!A:B,2,FALSE)</f>
        <v>E170S-E177FP-WA</v>
      </c>
      <c r="H177" s="48" t="str">
        <f>VLOOKUP(F:F,'Model-Vendor'!A:C,3,FALSE)</f>
        <v>DELL</v>
      </c>
      <c r="I177" s="48" t="s">
        <v>132</v>
      </c>
      <c r="J177" s="106" t="str">
        <f>CONCATENATE(TEXT($B$3,"00000"))&amp;"-"&amp;(VLOOKUP(I:I,'Location Legend'!A:B,2,FALSE))&amp;"-"&amp;(VLOOKUP(B:B,'Location Legend'!A:B,2,FALSE))&amp;"-"&amp;A177</f>
        <v>00853-MON-DEL-201A</v>
      </c>
      <c r="K177" s="137">
        <v>4</v>
      </c>
    </row>
    <row r="178" spans="1:11" x14ac:dyDescent="0.35">
      <c r="A178" s="107">
        <v>201</v>
      </c>
      <c r="B178" s="49" t="str">
        <f>B176</f>
        <v>DELI</v>
      </c>
      <c r="C178" s="49" t="s">
        <v>271</v>
      </c>
      <c r="D178" s="89" t="s">
        <v>485</v>
      </c>
      <c r="E178" s="67" t="s">
        <v>496</v>
      </c>
      <c r="F178" s="43" t="s">
        <v>64</v>
      </c>
      <c r="G178" s="48" t="str">
        <f>VLOOKUP(F:F,'Model-Vendor'!A:B,2,FALSE)</f>
        <v>KC2500-WA</v>
      </c>
      <c r="H178" s="48" t="str">
        <f>VLOOKUP(F:F,'Model-Vendor'!A:C,3,FALSE)</f>
        <v>NCR</v>
      </c>
      <c r="I178" s="48" t="s">
        <v>126</v>
      </c>
      <c r="J178" s="106" t="str">
        <f>CONCATENATE(TEXT($B$3,"00000"))&amp;"-"&amp;(VLOOKUP(I:I,'Location Legend'!A:B,2,FALSE))&amp;"-"&amp;(VLOOKUP(B:B,'Location Legend'!A:B,2,FALSE))&amp;"-"&amp;A178</f>
        <v>00853-KWI-DEL-201</v>
      </c>
      <c r="K178" s="137">
        <v>4</v>
      </c>
    </row>
    <row r="179" spans="1:11" x14ac:dyDescent="0.35">
      <c r="A179" s="107">
        <v>201</v>
      </c>
      <c r="B179" s="49" t="str">
        <f>B176</f>
        <v>DELI</v>
      </c>
      <c r="C179" s="49" t="s">
        <v>271</v>
      </c>
      <c r="D179" s="89" t="s">
        <v>486</v>
      </c>
      <c r="E179" s="67" t="s">
        <v>486</v>
      </c>
      <c r="F179" s="49" t="s">
        <v>222</v>
      </c>
      <c r="G179" s="48" t="str">
        <f>VLOOKUP(F:F,'Model-Vendor'!A:B,2,FALSE)</f>
        <v>P822F001-WA</v>
      </c>
      <c r="H179" s="48" t="str">
        <f>VLOOKUP(F:F,'Model-Vendor'!A:C,3,FALSE)</f>
        <v>NCR</v>
      </c>
      <c r="I179" s="48" t="s">
        <v>59</v>
      </c>
      <c r="J179" s="106" t="str">
        <f>CONCATENATE(TEXT($B$3,"00000"))&amp;"-"&amp;(VLOOKUP(I:I,'Location Legend'!A:B,2,FALSE))&amp;"-"&amp;(VLOOKUP(B:B,'Location Legend'!A:B,2,FALSE))&amp;"-"&amp;A179</f>
        <v>00853-BMP-DEL-201</v>
      </c>
      <c r="K179" s="137">
        <v>4</v>
      </c>
    </row>
    <row r="180" spans="1:11" ht="14.5" thickBot="1" x14ac:dyDescent="0.4">
      <c r="A180" s="152">
        <v>201</v>
      </c>
      <c r="B180" s="52" t="str">
        <f>B176</f>
        <v>DELI</v>
      </c>
      <c r="C180" s="52" t="s">
        <v>271</v>
      </c>
      <c r="D180" s="176" t="s">
        <v>487</v>
      </c>
      <c r="E180" s="177" t="s">
        <v>497</v>
      </c>
      <c r="F180" s="158" t="s">
        <v>226</v>
      </c>
      <c r="G180" s="50" t="str">
        <f>VLOOKUP(F:F,'Model-Vendor'!A:B,2,FALSE)</f>
        <v>C31C636084-WA</v>
      </c>
      <c r="H180" s="50" t="str">
        <f>VLOOKUP(F:F,'Model-Vendor'!A:C,3,FALSE)</f>
        <v>EPSON</v>
      </c>
      <c r="I180" s="50" t="s">
        <v>196</v>
      </c>
      <c r="J180" s="133" t="str">
        <f>CONCATENATE(TEXT($B$3,"00000"))&amp;"-"&amp;(VLOOKUP(I:I,'Location Legend'!A:B,2,FALSE))&amp;"-"&amp;(VLOOKUP(B:B,'Location Legend'!A:B,2,FALSE))&amp;"-"&amp;A180</f>
        <v>00853-DPT-DEL-201</v>
      </c>
      <c r="K180" s="146">
        <v>4</v>
      </c>
    </row>
    <row r="181" spans="1:11" x14ac:dyDescent="0.35">
      <c r="A181" s="153">
        <v>205</v>
      </c>
      <c r="B181" s="45" t="s">
        <v>180</v>
      </c>
      <c r="C181" s="45" t="s">
        <v>271</v>
      </c>
      <c r="D181" s="90" t="s">
        <v>470</v>
      </c>
      <c r="E181" s="70" t="s">
        <v>478</v>
      </c>
      <c r="F181" s="65" t="s">
        <v>231</v>
      </c>
      <c r="G181" s="44" t="str">
        <f>VLOOKUP(F:F,'Model-Vendor'!A:B,2,FALSE)</f>
        <v>E170S-E177FP-WA</v>
      </c>
      <c r="H181" s="44" t="str">
        <f>VLOOKUP(F:F,'Model-Vendor'!A:C,3,FALSE)</f>
        <v>DELL</v>
      </c>
      <c r="I181" s="44" t="s">
        <v>132</v>
      </c>
      <c r="J181" s="132" t="str">
        <f>CONCATENATE(TEXT($B$3,"00000"))&amp;"-"&amp;(VLOOKUP(I:I,'Location Legend'!A:B,2,FALSE))&amp;"-"&amp;(VLOOKUP(B:B,'Location Legend'!A:B,2,FALSE))&amp;"-"&amp;A181</f>
        <v>00853-MON-DEL-205</v>
      </c>
      <c r="K181" s="136">
        <v>4</v>
      </c>
    </row>
    <row r="182" spans="1:11" x14ac:dyDescent="0.35">
      <c r="A182" s="107">
        <v>205</v>
      </c>
      <c r="B182" s="49" t="str">
        <f>B181</f>
        <v>DELI</v>
      </c>
      <c r="C182" s="49" t="s">
        <v>271</v>
      </c>
      <c r="D182" s="89" t="s">
        <v>488</v>
      </c>
      <c r="E182" s="67" t="s">
        <v>498</v>
      </c>
      <c r="F182" s="43" t="s">
        <v>64</v>
      </c>
      <c r="G182" s="48" t="str">
        <f>VLOOKUP(F:F,'Model-Vendor'!A:B,2,FALSE)</f>
        <v>KC2500-WA</v>
      </c>
      <c r="H182" s="48" t="str">
        <f>VLOOKUP(F:F,'Model-Vendor'!A:C,3,FALSE)</f>
        <v>NCR</v>
      </c>
      <c r="I182" s="48" t="s">
        <v>126</v>
      </c>
      <c r="J182" s="106" t="str">
        <f>CONCATENATE(TEXT($B$3,"00000"))&amp;"-"&amp;(VLOOKUP(I:I,'Location Legend'!A:B,2,FALSE))&amp;"-"&amp;(VLOOKUP(B:B,'Location Legend'!A:B,2,FALSE))&amp;"-"&amp;A182</f>
        <v>00853-KWI-DEL-205</v>
      </c>
      <c r="K182" s="137">
        <v>4</v>
      </c>
    </row>
    <row r="183" spans="1:11" x14ac:dyDescent="0.35">
      <c r="A183" s="180">
        <v>205</v>
      </c>
      <c r="B183" s="187" t="str">
        <f>B181</f>
        <v>DELI</v>
      </c>
      <c r="C183" s="187" t="s">
        <v>271</v>
      </c>
      <c r="D183" s="182" t="s">
        <v>489</v>
      </c>
      <c r="E183" s="183" t="s">
        <v>499</v>
      </c>
      <c r="F183" s="187" t="s">
        <v>222</v>
      </c>
      <c r="G183" s="184" t="str">
        <f>VLOOKUP(F:F,'Model-Vendor'!A:B,2,FALSE)</f>
        <v>P822F001-WA</v>
      </c>
      <c r="H183" s="184" t="str">
        <f>VLOOKUP(F:F,'Model-Vendor'!A:C,3,FALSE)</f>
        <v>NCR</v>
      </c>
      <c r="I183" s="184" t="s">
        <v>59</v>
      </c>
      <c r="J183" s="279" t="str">
        <f>CONCATENATE(TEXT($B$3,"00000"))&amp;"-"&amp;(VLOOKUP(I:I,'Location Legend'!A:B,2,FALSE))&amp;"-"&amp;(VLOOKUP(B:B,'Location Legend'!A:B,2,FALSE))&amp;"-"&amp;A183</f>
        <v>00853-BMP-DEL-205</v>
      </c>
      <c r="K183" s="186">
        <v>4</v>
      </c>
    </row>
    <row r="184" spans="1:11" x14ac:dyDescent="0.35">
      <c r="A184" s="151">
        <v>207</v>
      </c>
      <c r="B184" s="47" t="s">
        <v>106</v>
      </c>
      <c r="C184" s="47" t="s">
        <v>271</v>
      </c>
      <c r="D184" s="90" t="s">
        <v>471</v>
      </c>
      <c r="E184" s="70" t="s">
        <v>479</v>
      </c>
      <c r="F184" s="6" t="s">
        <v>74</v>
      </c>
      <c r="G184" s="46" t="str">
        <f>VLOOKUP(F:F,'Model-Vendor'!A:B,2,FALSE)</f>
        <v>DELL-24MON-WA</v>
      </c>
      <c r="H184" s="46" t="str">
        <f>VLOOKUP(F:F,'Model-Vendor'!A:C,3,FALSE)</f>
        <v>DELL</v>
      </c>
      <c r="I184" s="46" t="s">
        <v>132</v>
      </c>
      <c r="J184" s="132" t="str">
        <f>CONCATENATE(TEXT($B$3,"00000"))&amp;"-"&amp;(VLOOKUP(I:I,'Location Legend'!A:B,2,FALSE))&amp;"-"&amp;(VLOOKUP(B:B,'Location Legend'!A:B,2,FALSE))&amp;"-"&amp;A184</f>
        <v>00853-MON-BEV-207</v>
      </c>
      <c r="K184" s="140">
        <v>4</v>
      </c>
    </row>
    <row r="185" spans="1:11" x14ac:dyDescent="0.35">
      <c r="A185" s="107">
        <v>207</v>
      </c>
      <c r="B185" s="49" t="str">
        <f>B184</f>
        <v>BEVERAGE</v>
      </c>
      <c r="C185" s="49" t="s">
        <v>271</v>
      </c>
      <c r="D185" s="89" t="s">
        <v>490</v>
      </c>
      <c r="E185" s="67" t="s">
        <v>500</v>
      </c>
      <c r="F185" s="43" t="s">
        <v>64</v>
      </c>
      <c r="G185" s="48" t="str">
        <f>VLOOKUP(F:F,'Model-Vendor'!A:B,2,FALSE)</f>
        <v>KC2500-WA</v>
      </c>
      <c r="H185" s="48" t="str">
        <f>VLOOKUP(F:F,'Model-Vendor'!A:C,3,FALSE)</f>
        <v>NCR</v>
      </c>
      <c r="I185" s="48" t="s">
        <v>126</v>
      </c>
      <c r="J185" s="106" t="str">
        <f>CONCATENATE(TEXT($B$3,"00000"))&amp;"-"&amp;(VLOOKUP(I:I,'Location Legend'!A:B,2,FALSE))&amp;"-"&amp;(VLOOKUP(B:B,'Location Legend'!A:B,2,FALSE))&amp;"-"&amp;A185</f>
        <v>00853-KWI-BEV-207</v>
      </c>
      <c r="K185" s="137">
        <v>4</v>
      </c>
    </row>
    <row r="186" spans="1:11" x14ac:dyDescent="0.35">
      <c r="A186" s="107">
        <v>207</v>
      </c>
      <c r="B186" s="49" t="str">
        <f>B184</f>
        <v>BEVERAGE</v>
      </c>
      <c r="C186" s="49" t="s">
        <v>271</v>
      </c>
      <c r="D186" s="89"/>
      <c r="E186" s="67"/>
      <c r="F186" s="49" t="s">
        <v>222</v>
      </c>
      <c r="G186" s="48" t="str">
        <f>VLOOKUP(F:F,'Model-Vendor'!A:B,2,FALSE)</f>
        <v>P822F001-WA</v>
      </c>
      <c r="H186" s="48" t="str">
        <f>VLOOKUP(F:F,'Model-Vendor'!A:C,3,FALSE)</f>
        <v>NCR</v>
      </c>
      <c r="I186" s="48" t="s">
        <v>59</v>
      </c>
      <c r="J186" s="106" t="str">
        <f>CONCATENATE(TEXT($B$3,"00000"))&amp;"-"&amp;(VLOOKUP(I:I,'Location Legend'!A:B,2,FALSE))&amp;"-"&amp;(VLOOKUP(B:B,'Location Legend'!A:B,2,FALSE))&amp;"-"&amp;A186</f>
        <v>00853-BMP-BEV-207</v>
      </c>
      <c r="K186" s="137">
        <v>4</v>
      </c>
    </row>
    <row r="187" spans="1:11" ht="14.5" thickBot="1" x14ac:dyDescent="0.4">
      <c r="A187" s="152">
        <v>207</v>
      </c>
      <c r="B187" s="49" t="str">
        <f>B184</f>
        <v>BEVERAGE</v>
      </c>
      <c r="C187" s="52" t="s">
        <v>271</v>
      </c>
      <c r="D187" s="176"/>
      <c r="E187" s="177"/>
      <c r="F187" s="158" t="s">
        <v>226</v>
      </c>
      <c r="G187" s="50" t="str">
        <f>VLOOKUP(F:F,'Model-Vendor'!A:B,2,FALSE)</f>
        <v>C31C636084-WA</v>
      </c>
      <c r="H187" s="50" t="str">
        <f>VLOOKUP(F:F,'Model-Vendor'!A:C,3,FALSE)</f>
        <v>EPSON</v>
      </c>
      <c r="I187" s="50" t="s">
        <v>196</v>
      </c>
      <c r="J187" s="133" t="str">
        <f>CONCATENATE(TEXT($B$3,"00000"))&amp;"-"&amp;(VLOOKUP(I:I,'Location Legend'!A:B,2,FALSE))&amp;"-"&amp;(VLOOKUP(B:B,'Location Legend'!A:B,2,FALSE))&amp;"-"&amp;A187</f>
        <v>00853-DPT-BEV-207</v>
      </c>
      <c r="K187" s="146">
        <v>4</v>
      </c>
    </row>
    <row r="188" spans="1:11" x14ac:dyDescent="0.35">
      <c r="A188" s="153">
        <v>208</v>
      </c>
      <c r="B188" s="45" t="s">
        <v>106</v>
      </c>
      <c r="C188" s="45" t="s">
        <v>271</v>
      </c>
      <c r="D188" s="90"/>
      <c r="E188" s="70"/>
      <c r="F188" s="43" t="s">
        <v>74</v>
      </c>
      <c r="G188" s="48" t="str">
        <f>VLOOKUP(F:F,'Model-Vendor'!A:B,2,FALSE)</f>
        <v>DELL-24MON-WA</v>
      </c>
      <c r="H188" s="48" t="str">
        <f>VLOOKUP(F:F,'Model-Vendor'!A:C,3,FALSE)</f>
        <v>DELL</v>
      </c>
      <c r="I188" s="48" t="s">
        <v>132</v>
      </c>
      <c r="J188" s="132" t="str">
        <f>CONCATENATE(TEXT($B$3,"00000"))&amp;"-"&amp;(VLOOKUP(I:I,'Location Legend'!A:B,2,FALSE))&amp;"-"&amp;(VLOOKUP(B:B,'Location Legend'!A:B,2,FALSE))&amp;"-"&amp;A188</f>
        <v>00853-MON-BEV-208</v>
      </c>
      <c r="K188" s="136">
        <v>4</v>
      </c>
    </row>
    <row r="189" spans="1:11" x14ac:dyDescent="0.35">
      <c r="A189" s="107">
        <v>208</v>
      </c>
      <c r="B189" s="49" t="str">
        <f>B188</f>
        <v>BEVERAGE</v>
      </c>
      <c r="C189" s="49" t="s">
        <v>271</v>
      </c>
      <c r="D189" s="89"/>
      <c r="E189" s="67"/>
      <c r="F189" s="43" t="s">
        <v>64</v>
      </c>
      <c r="G189" s="48" t="str">
        <f>VLOOKUP(F:F,'Model-Vendor'!A:B,2,FALSE)</f>
        <v>KC2500-WA</v>
      </c>
      <c r="H189" s="48" t="str">
        <f>VLOOKUP(F:F,'Model-Vendor'!A:C,3,FALSE)</f>
        <v>NCR</v>
      </c>
      <c r="I189" s="48" t="s">
        <v>126</v>
      </c>
      <c r="J189" s="106" t="str">
        <f>CONCATENATE(TEXT($B$3,"00000"))&amp;"-"&amp;(VLOOKUP(I:I,'Location Legend'!A:B,2,FALSE))&amp;"-"&amp;(VLOOKUP(B:B,'Location Legend'!A:B,2,FALSE))&amp;"-"&amp;A189</f>
        <v>00853-KWI-BEV-208</v>
      </c>
      <c r="K189" s="137">
        <v>4</v>
      </c>
    </row>
    <row r="190" spans="1:11" x14ac:dyDescent="0.35">
      <c r="A190" s="107">
        <v>208</v>
      </c>
      <c r="B190" s="49" t="str">
        <f>B188</f>
        <v>BEVERAGE</v>
      </c>
      <c r="C190" s="49" t="s">
        <v>271</v>
      </c>
      <c r="D190" s="89"/>
      <c r="E190" s="67"/>
      <c r="F190" s="49" t="s">
        <v>222</v>
      </c>
      <c r="G190" s="48" t="str">
        <f>VLOOKUP(F:F,'Model-Vendor'!A:B,2,FALSE)</f>
        <v>P822F001-WA</v>
      </c>
      <c r="H190" s="48" t="str">
        <f>VLOOKUP(F:F,'Model-Vendor'!A:C,3,FALSE)</f>
        <v>NCR</v>
      </c>
      <c r="I190" s="48" t="s">
        <v>59</v>
      </c>
      <c r="J190" s="106" t="str">
        <f>CONCATENATE(TEXT($B$3,"00000"))&amp;"-"&amp;(VLOOKUP(I:I,'Location Legend'!A:B,2,FALSE))&amp;"-"&amp;(VLOOKUP(B:B,'Location Legend'!A:B,2,FALSE))&amp;"-"&amp;A190</f>
        <v>00853-BMP-BEV-208</v>
      </c>
      <c r="K190" s="137">
        <v>4</v>
      </c>
    </row>
    <row r="191" spans="1:11" ht="14.5" thickBot="1" x14ac:dyDescent="0.4">
      <c r="A191" s="152">
        <v>208</v>
      </c>
      <c r="B191" s="49" t="str">
        <f>B188</f>
        <v>BEVERAGE</v>
      </c>
      <c r="C191" s="52" t="s">
        <v>271</v>
      </c>
      <c r="D191" s="176"/>
      <c r="E191" s="177"/>
      <c r="F191" s="158" t="s">
        <v>226</v>
      </c>
      <c r="G191" s="50" t="str">
        <f>VLOOKUP(F:F,'Model-Vendor'!A:B,2,FALSE)</f>
        <v>C31C636084-WA</v>
      </c>
      <c r="H191" s="50" t="str">
        <f>VLOOKUP(F:F,'Model-Vendor'!A:C,3,FALSE)</f>
        <v>EPSON</v>
      </c>
      <c r="I191" s="50" t="s">
        <v>196</v>
      </c>
      <c r="J191" s="133" t="str">
        <f>CONCATENATE(TEXT($B$3,"00000"))&amp;"-"&amp;(VLOOKUP(I:I,'Location Legend'!A:B,2,FALSE))&amp;"-"&amp;(VLOOKUP(B:B,'Location Legend'!A:B,2,FALSE))&amp;"-"&amp;A191</f>
        <v>00853-DPT-BEV-208</v>
      </c>
      <c r="K191" s="146">
        <v>4</v>
      </c>
    </row>
    <row r="192" spans="1:11" hidden="1" x14ac:dyDescent="0.35">
      <c r="A192" s="153">
        <v>209</v>
      </c>
      <c r="B192" s="45" t="s">
        <v>180</v>
      </c>
      <c r="C192" s="45" t="s">
        <v>271</v>
      </c>
      <c r="D192" s="90"/>
      <c r="E192" s="70"/>
      <c r="F192" s="43"/>
      <c r="G192" s="48" t="e">
        <f>VLOOKUP(F:F,'Model-Vendor'!A:B,2,FALSE)</f>
        <v>#N/A</v>
      </c>
      <c r="H192" s="48" t="e">
        <f>VLOOKUP(F:F,'Model-Vendor'!A:C,3,FALSE)</f>
        <v>#N/A</v>
      </c>
      <c r="I192" s="48" t="s">
        <v>132</v>
      </c>
      <c r="J192" s="132" t="str">
        <f>CONCATENATE(TEXT($B$3,"00000"))&amp;"-"&amp;(VLOOKUP(I:I,'Location Legend'!A:B,2,FALSE))&amp;"-"&amp;(VLOOKUP(B:B,'Location Legend'!A:B,2,FALSE))&amp;"-"&amp;A192</f>
        <v>00853-MON-DEL-209</v>
      </c>
      <c r="K192" s="136">
        <v>4</v>
      </c>
    </row>
    <row r="193" spans="1:11" hidden="1" x14ac:dyDescent="0.35">
      <c r="A193" s="107">
        <v>209</v>
      </c>
      <c r="B193" s="49" t="str">
        <f>B192</f>
        <v>DELI</v>
      </c>
      <c r="C193" s="49" t="s">
        <v>271</v>
      </c>
      <c r="D193" s="89"/>
      <c r="E193" s="67"/>
      <c r="F193" s="43"/>
      <c r="G193" s="48" t="e">
        <f>VLOOKUP(F:F,'Model-Vendor'!A:B,2,FALSE)</f>
        <v>#N/A</v>
      </c>
      <c r="H193" s="48" t="e">
        <f>VLOOKUP(F:F,'Model-Vendor'!A:C,3,FALSE)</f>
        <v>#N/A</v>
      </c>
      <c r="I193" s="48" t="s">
        <v>126</v>
      </c>
      <c r="J193" s="106" t="str">
        <f>CONCATENATE(TEXT($B$3,"00000"))&amp;"-"&amp;(VLOOKUP(I:I,'Location Legend'!A:B,2,FALSE))&amp;"-"&amp;(VLOOKUP(B:B,'Location Legend'!A:B,2,FALSE))&amp;"-"&amp;A193</f>
        <v>00853-KWI-DEL-209</v>
      </c>
      <c r="K193" s="137">
        <v>4</v>
      </c>
    </row>
    <row r="194" spans="1:11" hidden="1" x14ac:dyDescent="0.35">
      <c r="A194" s="107">
        <v>209</v>
      </c>
      <c r="B194" s="49" t="str">
        <f>B192</f>
        <v>DELI</v>
      </c>
      <c r="C194" s="49" t="s">
        <v>271</v>
      </c>
      <c r="D194" s="89"/>
      <c r="E194" s="67"/>
      <c r="F194" s="49" t="s">
        <v>222</v>
      </c>
      <c r="G194" s="48" t="str">
        <f>VLOOKUP(F:F,'Model-Vendor'!A:B,2,FALSE)</f>
        <v>P822F001-WA</v>
      </c>
      <c r="H194" s="48" t="str">
        <f>VLOOKUP(F:F,'Model-Vendor'!A:C,3,FALSE)</f>
        <v>NCR</v>
      </c>
      <c r="I194" s="48" t="s">
        <v>59</v>
      </c>
      <c r="J194" s="106" t="str">
        <f>CONCATENATE(TEXT($B$3,"00000"))&amp;"-"&amp;(VLOOKUP(I:I,'Location Legend'!A:B,2,FALSE))&amp;"-"&amp;(VLOOKUP(B:B,'Location Legend'!A:B,2,FALSE))&amp;"-"&amp;A194</f>
        <v>00853-BMP-DEL-209</v>
      </c>
      <c r="K194" s="137">
        <v>4</v>
      </c>
    </row>
    <row r="195" spans="1:11" ht="14.5" hidden="1" thickBot="1" x14ac:dyDescent="0.4">
      <c r="A195" s="152">
        <v>209</v>
      </c>
      <c r="B195" s="49" t="str">
        <f>B192</f>
        <v>DELI</v>
      </c>
      <c r="C195" s="52" t="s">
        <v>271</v>
      </c>
      <c r="D195" s="176"/>
      <c r="E195" s="177"/>
      <c r="F195" s="158" t="s">
        <v>226</v>
      </c>
      <c r="G195" s="50" t="str">
        <f>VLOOKUP(F:F,'Model-Vendor'!A:B,2,FALSE)</f>
        <v>C31C636084-WA</v>
      </c>
      <c r="H195" s="50" t="str">
        <f>VLOOKUP(F:F,'Model-Vendor'!A:C,3,FALSE)</f>
        <v>EPSON</v>
      </c>
      <c r="I195" s="50" t="s">
        <v>196</v>
      </c>
      <c r="J195" s="133" t="str">
        <f>CONCATENATE(TEXT($B$3,"00000"))&amp;"-"&amp;(VLOOKUP(I:I,'Location Legend'!A:B,2,FALSE))&amp;"-"&amp;(VLOOKUP(B:B,'Location Legend'!A:B,2,FALSE))&amp;"-"&amp;A195</f>
        <v>00853-DPT-DEL-209</v>
      </c>
      <c r="K195" s="146">
        <v>4</v>
      </c>
    </row>
    <row r="196" spans="1:11" x14ac:dyDescent="0.35">
      <c r="A196" s="151">
        <v>210</v>
      </c>
      <c r="B196" s="45" t="s">
        <v>180</v>
      </c>
      <c r="C196" s="47" t="s">
        <v>271</v>
      </c>
      <c r="D196" s="90" t="s">
        <v>472</v>
      </c>
      <c r="E196" s="70" t="s">
        <v>480</v>
      </c>
      <c r="F196" s="65" t="s">
        <v>231</v>
      </c>
      <c r="G196" s="46" t="str">
        <f>VLOOKUP(F:F,'Model-Vendor'!A:B,2,FALSE)</f>
        <v>E170S-E177FP-WA</v>
      </c>
      <c r="H196" s="46" t="str">
        <f>VLOOKUP(F:F,'Model-Vendor'!A:C,3,FALSE)</f>
        <v>DELL</v>
      </c>
      <c r="I196" s="46" t="s">
        <v>132</v>
      </c>
      <c r="J196" s="132" t="str">
        <f>CONCATENATE(TEXT($B$3,"00000"))&amp;"-"&amp;(VLOOKUP(I:I,'Location Legend'!A:B,2,FALSE))&amp;"-"&amp;(VLOOKUP(B:B,'Location Legend'!A:B,2,FALSE))&amp;"-"&amp;A196</f>
        <v>00853-MON-DEL-210</v>
      </c>
      <c r="K196" s="140">
        <v>4</v>
      </c>
    </row>
    <row r="197" spans="1:11" x14ac:dyDescent="0.35">
      <c r="A197" s="151" t="s">
        <v>323</v>
      </c>
      <c r="B197" s="49" t="str">
        <f>B196</f>
        <v>DELI</v>
      </c>
      <c r="C197" s="47" t="s">
        <v>271</v>
      </c>
      <c r="D197" s="89" t="s">
        <v>473</v>
      </c>
      <c r="E197" s="67" t="s">
        <v>481</v>
      </c>
      <c r="F197" s="43" t="s">
        <v>231</v>
      </c>
      <c r="G197" s="48" t="str">
        <f>VLOOKUP(F:F,'Model-Vendor'!A:B,2,FALSE)</f>
        <v>E170S-E177FP-WA</v>
      </c>
      <c r="H197" s="48" t="str">
        <f>VLOOKUP(F:F,'Model-Vendor'!A:C,3,FALSE)</f>
        <v>DELL</v>
      </c>
      <c r="I197" s="48" t="s">
        <v>132</v>
      </c>
      <c r="J197" s="106" t="str">
        <f>CONCATENATE(TEXT($B$3,"00000"))&amp;"-"&amp;(VLOOKUP(I:I,'Location Legend'!A:B,2,FALSE))&amp;"-"&amp;(VLOOKUP(B:B,'Location Legend'!A:B,2,FALSE))&amp;"-"&amp;A197</f>
        <v>00853-MON-DEL-210A</v>
      </c>
      <c r="K197" s="140">
        <v>4</v>
      </c>
    </row>
    <row r="198" spans="1:11" x14ac:dyDescent="0.35">
      <c r="A198" s="107">
        <v>210</v>
      </c>
      <c r="B198" s="49" t="str">
        <f t="shared" ref="B198:B200" si="11">B197</f>
        <v>DELI</v>
      </c>
      <c r="C198" s="49" t="s">
        <v>271</v>
      </c>
      <c r="D198" s="89" t="s">
        <v>491</v>
      </c>
      <c r="E198" s="67" t="s">
        <v>501</v>
      </c>
      <c r="F198" s="43" t="s">
        <v>64</v>
      </c>
      <c r="G198" s="48" t="str">
        <f>VLOOKUP(F:F,'Model-Vendor'!A:B,2,FALSE)</f>
        <v>KC2500-WA</v>
      </c>
      <c r="H198" s="48" t="str">
        <f>VLOOKUP(F:F,'Model-Vendor'!A:C,3,FALSE)</f>
        <v>NCR</v>
      </c>
      <c r="I198" s="48" t="s">
        <v>126</v>
      </c>
      <c r="J198" s="106" t="str">
        <f>CONCATENATE(TEXT($B$3,"00000"))&amp;"-"&amp;(VLOOKUP(I:I,'Location Legend'!A:B,2,FALSE))&amp;"-"&amp;(VLOOKUP(B:B,'Location Legend'!A:B,2,FALSE))&amp;"-"&amp;A198</f>
        <v>00853-KWI-DEL-210</v>
      </c>
      <c r="K198" s="137">
        <v>4</v>
      </c>
    </row>
    <row r="199" spans="1:11" x14ac:dyDescent="0.35">
      <c r="A199" s="107">
        <v>210</v>
      </c>
      <c r="B199" s="49" t="str">
        <f t="shared" si="11"/>
        <v>DELI</v>
      </c>
      <c r="C199" s="49" t="s">
        <v>271</v>
      </c>
      <c r="D199" s="89"/>
      <c r="E199" s="67"/>
      <c r="F199" s="49" t="s">
        <v>222</v>
      </c>
      <c r="G199" s="48" t="str">
        <f>VLOOKUP(F:F,'Model-Vendor'!A:B,2,FALSE)</f>
        <v>P822F001-WA</v>
      </c>
      <c r="H199" s="48" t="str">
        <f>VLOOKUP(F:F,'Model-Vendor'!A:C,3,FALSE)</f>
        <v>NCR</v>
      </c>
      <c r="I199" s="48" t="s">
        <v>59</v>
      </c>
      <c r="J199" s="106" t="str">
        <f>CONCATENATE(TEXT($B$3,"00000"))&amp;"-"&amp;(VLOOKUP(I:I,'Location Legend'!A:B,2,FALSE))&amp;"-"&amp;(VLOOKUP(B:B,'Location Legend'!A:B,2,FALSE))&amp;"-"&amp;A199</f>
        <v>00853-BMP-DEL-210</v>
      </c>
      <c r="K199" s="137">
        <v>4</v>
      </c>
    </row>
    <row r="200" spans="1:11" ht="14.5" thickBot="1" x14ac:dyDescent="0.4">
      <c r="A200" s="189">
        <v>210</v>
      </c>
      <c r="B200" s="190" t="str">
        <f t="shared" si="11"/>
        <v>DELI</v>
      </c>
      <c r="C200" s="190" t="s">
        <v>271</v>
      </c>
      <c r="D200" s="191" t="s">
        <v>492</v>
      </c>
      <c r="E200" s="192" t="s">
        <v>502</v>
      </c>
      <c r="F200" s="195" t="s">
        <v>226</v>
      </c>
      <c r="G200" s="185" t="str">
        <f>VLOOKUP(F:F,'Model-Vendor'!A:B,2,FALSE)</f>
        <v>C31C636084-WA</v>
      </c>
      <c r="H200" s="185" t="str">
        <f>VLOOKUP(F:F,'Model-Vendor'!A:C,3,FALSE)</f>
        <v>EPSON</v>
      </c>
      <c r="I200" s="185" t="s">
        <v>196</v>
      </c>
      <c r="J200" s="193" t="str">
        <f>CONCATENATE(TEXT($B$3,"00000"))&amp;"-"&amp;(VLOOKUP(I:I,'Location Legend'!A:B,2,FALSE))&amp;"-"&amp;(VLOOKUP(B:B,'Location Legend'!A:B,2,FALSE))&amp;"-"&amp;A200</f>
        <v>00853-DPT-DEL-210</v>
      </c>
      <c r="K200" s="194">
        <v>4</v>
      </c>
    </row>
    <row r="201" spans="1:11" ht="14.5" thickBot="1" x14ac:dyDescent="0.4">
      <c r="A201" s="156"/>
      <c r="B201" s="5"/>
      <c r="C201" s="5"/>
      <c r="D201" s="5"/>
      <c r="E201" s="5"/>
      <c r="F201" s="197" t="s">
        <v>365</v>
      </c>
      <c r="G201" s="144"/>
      <c r="H201" s="144"/>
      <c r="I201" s="144"/>
      <c r="J201" s="144"/>
      <c r="K201" s="145"/>
    </row>
    <row r="202" spans="1:11" x14ac:dyDescent="0.35">
      <c r="A202" s="323">
        <v>206</v>
      </c>
      <c r="B202" s="47" t="s">
        <v>338</v>
      </c>
      <c r="C202" s="47" t="s">
        <v>271</v>
      </c>
      <c r="D202" s="324"/>
      <c r="E202" s="325"/>
      <c r="F202" s="47"/>
      <c r="G202" s="46" t="e">
        <f>VLOOKUP(F:F,'Model-Vendor'!A:B,2,FALSE)</f>
        <v>#N/A</v>
      </c>
      <c r="H202" s="46" t="e">
        <f>VLOOKUP(F:F,'Model-Vendor'!A:C,3,FALSE)</f>
        <v>#N/A</v>
      </c>
      <c r="I202" s="46" t="s">
        <v>132</v>
      </c>
      <c r="J202" s="132" t="str">
        <f>CONCATENATE(TEXT($B$3,"00000"))&amp;"-"&amp;(VLOOKUP(I:I,'Location Legend'!A:B,2,FALSE))&amp;"-"&amp;(VLOOKUP(B:B,'Location Legend'!A:B,2,FALSE))&amp;"-"&amp;A202</f>
        <v>00853-MON-FSD-206</v>
      </c>
      <c r="K202" s="326">
        <v>4</v>
      </c>
    </row>
    <row r="203" spans="1:11" x14ac:dyDescent="0.35">
      <c r="A203" s="327">
        <v>206</v>
      </c>
      <c r="B203" s="173" t="str">
        <f>B202</f>
        <v>FOOD SVC DELIVERY</v>
      </c>
      <c r="C203" s="173" t="s">
        <v>271</v>
      </c>
      <c r="D203" s="328"/>
      <c r="E203" s="329"/>
      <c r="F203" s="173"/>
      <c r="G203" s="175" t="e">
        <f>VLOOKUP(F:F,'Model-Vendor'!A:B,2,FALSE)</f>
        <v>#N/A</v>
      </c>
      <c r="H203" s="175" t="e">
        <f>VLOOKUP(F:F,'Model-Vendor'!A:C,3,FALSE)</f>
        <v>#N/A</v>
      </c>
      <c r="I203" s="175" t="s">
        <v>126</v>
      </c>
      <c r="J203" s="330" t="str">
        <f>CONCATENATE(TEXT($B$3,"00000"))&amp;"-"&amp;(VLOOKUP(I:I,'Location Legend'!A:B,2,FALSE))&amp;"-"&amp;(VLOOKUP(B:B,'Location Legend'!A:B,2,FALSE))&amp;"-"&amp;A203</f>
        <v>00853-KWI-FSD-206</v>
      </c>
      <c r="K203" s="331">
        <v>4</v>
      </c>
    </row>
    <row r="204" spans="1:11" x14ac:dyDescent="0.35">
      <c r="A204" s="327">
        <v>206</v>
      </c>
      <c r="B204" s="173" t="str">
        <f>B202</f>
        <v>FOOD SVC DELIVERY</v>
      </c>
      <c r="C204" s="173" t="s">
        <v>271</v>
      </c>
      <c r="D204" s="328"/>
      <c r="E204" s="329"/>
      <c r="F204" s="173" t="s">
        <v>222</v>
      </c>
      <c r="G204" s="175" t="str">
        <f>VLOOKUP(F:F,'Model-Vendor'!A:B,2,FALSE)</f>
        <v>P822F001-WA</v>
      </c>
      <c r="H204" s="175" t="str">
        <f>VLOOKUP(F:F,'Model-Vendor'!A:C,3,FALSE)</f>
        <v>NCR</v>
      </c>
      <c r="I204" s="175" t="s">
        <v>59</v>
      </c>
      <c r="J204" s="330" t="str">
        <f>CONCATENATE(TEXT($B$3,"00000"))&amp;"-"&amp;(VLOOKUP(I:I,'Location Legend'!A:B,2,FALSE))&amp;"-"&amp;(VLOOKUP(B:B,'Location Legend'!A:B,2,FALSE))&amp;"-"&amp;A204</f>
        <v>00853-BMP-FSD-206</v>
      </c>
      <c r="K204" s="331">
        <v>4</v>
      </c>
    </row>
    <row r="205" spans="1:11" x14ac:dyDescent="0.35">
      <c r="A205" s="327">
        <v>206</v>
      </c>
      <c r="B205" s="173" t="str">
        <f>B202</f>
        <v>FOOD SVC DELIVERY</v>
      </c>
      <c r="C205" s="173" t="s">
        <v>271</v>
      </c>
      <c r="D205" s="328"/>
      <c r="E205" s="329"/>
      <c r="F205" s="332" t="s">
        <v>226</v>
      </c>
      <c r="G205" s="175" t="str">
        <f>VLOOKUP(F:F,'Model-Vendor'!A:B,2,FALSE)</f>
        <v>C31C636084-WA</v>
      </c>
      <c r="H205" s="175" t="str">
        <f>VLOOKUP(F:F,'Model-Vendor'!A:C,3,FALSE)</f>
        <v>EPSON</v>
      </c>
      <c r="I205" s="175" t="s">
        <v>196</v>
      </c>
      <c r="J205" s="330" t="str">
        <f>CONCATENATE(TEXT($B$3,"00000"))&amp;"-"&amp;(VLOOKUP(I:I,'Location Legend'!A:B,2,FALSE))&amp;"-"&amp;(VLOOKUP(B:B,'Location Legend'!A:B,2,FALSE))&amp;"-"&amp;A205</f>
        <v>00853-DPT-FSD-206</v>
      </c>
      <c r="K205" s="331">
        <v>4</v>
      </c>
    </row>
    <row r="206" spans="1:11" x14ac:dyDescent="0.35">
      <c r="A206" s="327">
        <v>206</v>
      </c>
      <c r="B206" s="173" t="str">
        <f t="shared" ref="B206:B209" si="12">B203</f>
        <v>FOOD SVC DELIVERY</v>
      </c>
      <c r="C206" s="173" t="s">
        <v>271</v>
      </c>
      <c r="D206" s="328"/>
      <c r="E206" s="329"/>
      <c r="F206" s="173" t="s">
        <v>358</v>
      </c>
      <c r="G206" s="175" t="s">
        <v>359</v>
      </c>
      <c r="H206" s="175" t="s">
        <v>360</v>
      </c>
      <c r="I206" s="175" t="s">
        <v>383</v>
      </c>
      <c r="J206" s="330" t="str">
        <f>CONCATENATE(TEXT($B$3,"00000"))&amp;"-GH-"&amp;(VLOOKUP(B:B,'Location Legend'!A:B,2,FALSE))&amp;"-"&amp;A206</f>
        <v>00853-GH-FSD-206</v>
      </c>
      <c r="K206" s="331">
        <v>4</v>
      </c>
    </row>
    <row r="207" spans="1:11" x14ac:dyDescent="0.35">
      <c r="A207" s="327">
        <v>206</v>
      </c>
      <c r="B207" s="173" t="str">
        <f t="shared" si="12"/>
        <v>FOOD SVC DELIVERY</v>
      </c>
      <c r="C207" s="173" t="s">
        <v>271</v>
      </c>
      <c r="D207" s="328"/>
      <c r="E207" s="329"/>
      <c r="F207" s="173" t="s">
        <v>362</v>
      </c>
      <c r="G207" s="175" t="s">
        <v>363</v>
      </c>
      <c r="H207" s="175" t="s">
        <v>93</v>
      </c>
      <c r="I207" s="175" t="s">
        <v>384</v>
      </c>
      <c r="J207" s="330" t="str">
        <f>CONCATENATE(TEXT($B$3,"00000"))&amp;"-UE-"&amp;(VLOOKUP(B:B,'Location Legend'!A:B,2,FALSE))&amp;"-"&amp;A207</f>
        <v>00853-UE-FSD-206</v>
      </c>
      <c r="K207" s="331">
        <v>4</v>
      </c>
    </row>
    <row r="208" spans="1:11" x14ac:dyDescent="0.35">
      <c r="A208" s="327">
        <v>206</v>
      </c>
      <c r="B208" s="173" t="str">
        <f t="shared" si="12"/>
        <v>FOOD SVC DELIVERY</v>
      </c>
      <c r="C208" s="173" t="s">
        <v>271</v>
      </c>
      <c r="D208" s="328"/>
      <c r="E208" s="329"/>
      <c r="F208" s="332" t="s">
        <v>381</v>
      </c>
      <c r="G208" s="223"/>
      <c r="H208" s="223"/>
      <c r="I208" s="175" t="s">
        <v>385</v>
      </c>
      <c r="J208" s="330" t="str">
        <f>CONCATENATE(TEXT($B$3,"00000"))&amp;"-DD-"&amp;(VLOOKUP(B:B,'Location Legend'!A:B,2,FALSE))&amp;"-"&amp;A208</f>
        <v>00853-DD-FSD-206</v>
      </c>
      <c r="K208" s="331">
        <v>4</v>
      </c>
    </row>
    <row r="209" spans="1:11" ht="14.5" thickBot="1" x14ac:dyDescent="0.4">
      <c r="A209" s="333">
        <v>206</v>
      </c>
      <c r="B209" s="190" t="str">
        <f t="shared" si="12"/>
        <v>FOOD SVC DELIVERY</v>
      </c>
      <c r="C209" s="190" t="s">
        <v>271</v>
      </c>
      <c r="D209" s="334"/>
      <c r="E209" s="335"/>
      <c r="F209" s="190" t="s">
        <v>355</v>
      </c>
      <c r="G209" s="185" t="s">
        <v>356</v>
      </c>
      <c r="H209" s="185" t="s">
        <v>357</v>
      </c>
      <c r="I209" s="185" t="s">
        <v>145</v>
      </c>
      <c r="J209" s="193" t="str">
        <f>CONCATENATE(TEXT($B$3,"00000"))&amp;"-"&amp;(VLOOKUP(I:I,'Location Legend'!A:B,2,FALSE))&amp;"-"&amp;(VLOOKUP(B:B,'Location Legend'!A:B,2,FALSE))&amp;"-"&amp;A209</f>
        <v>00853-PRT-FSD-206</v>
      </c>
      <c r="K209" s="336">
        <v>4</v>
      </c>
    </row>
    <row r="210" spans="1:11" ht="14.5" thickBot="1" x14ac:dyDescent="0.4">
      <c r="A210" s="156"/>
      <c r="B210" s="5"/>
      <c r="C210" s="5"/>
      <c r="D210" s="5"/>
      <c r="E210" s="5"/>
      <c r="F210" s="197" t="s">
        <v>389</v>
      </c>
      <c r="G210" s="144"/>
      <c r="H210" s="144"/>
      <c r="I210" s="144"/>
      <c r="J210" s="144"/>
      <c r="K210" s="145"/>
    </row>
    <row r="211" spans="1:11" hidden="1" x14ac:dyDescent="0.35">
      <c r="A211" s="298">
        <v>209</v>
      </c>
      <c r="B211" s="178" t="s">
        <v>180</v>
      </c>
      <c r="C211" s="178" t="s">
        <v>271</v>
      </c>
      <c r="D211" s="299"/>
      <c r="E211" s="300"/>
      <c r="F211" s="178"/>
      <c r="G211" s="179" t="e">
        <f>VLOOKUP(F:F,'Model-Vendor'!A:B,2,FALSE)</f>
        <v>#N/A</v>
      </c>
      <c r="H211" s="179" t="e">
        <f>VLOOKUP(F:F,'Model-Vendor'!A:C,3,FALSE)</f>
        <v>#N/A</v>
      </c>
      <c r="I211" s="179" t="s">
        <v>132</v>
      </c>
      <c r="J211" s="161" t="str">
        <f>CONCATENATE(TEXT($B$3,"00000"))&amp;"-"&amp;(VLOOKUP(I:I,'Location Legend'!A:B,2,FALSE))&amp;"-"&amp;(VLOOKUP(B:B,'Location Legend'!A:B,2,FALSE))&amp;"-"&amp;A211</f>
        <v>00853-MON-DEL-209</v>
      </c>
      <c r="K211" s="301">
        <v>4</v>
      </c>
    </row>
    <row r="212" spans="1:11" hidden="1" x14ac:dyDescent="0.35">
      <c r="A212" s="286">
        <v>209</v>
      </c>
      <c r="B212" s="280" t="str">
        <f>B211</f>
        <v>DELI</v>
      </c>
      <c r="C212" s="280" t="s">
        <v>271</v>
      </c>
      <c r="D212" s="287"/>
      <c r="E212" s="288"/>
      <c r="F212" s="280"/>
      <c r="G212" s="282" t="e">
        <f>VLOOKUP(F:F,'Model-Vendor'!A:B,2,FALSE)</f>
        <v>#N/A</v>
      </c>
      <c r="H212" s="282" t="e">
        <f>VLOOKUP(F:F,'Model-Vendor'!A:C,3,FALSE)</f>
        <v>#N/A</v>
      </c>
      <c r="I212" s="282" t="s">
        <v>126</v>
      </c>
      <c r="J212" s="284" t="str">
        <f>CONCATENATE(TEXT($B$3,"00000"))&amp;"-"&amp;(VLOOKUP(I:I,'Location Legend'!A:B,2,FALSE))&amp;"-"&amp;(VLOOKUP(B:B,'Location Legend'!A:B,2,FALSE))&amp;"-"&amp;A212</f>
        <v>00853-KWI-DEL-209</v>
      </c>
      <c r="K212" s="289">
        <v>4</v>
      </c>
    </row>
    <row r="213" spans="1:11" hidden="1" x14ac:dyDescent="0.35">
      <c r="A213" s="286">
        <v>209</v>
      </c>
      <c r="B213" s="280" t="str">
        <f>B211</f>
        <v>DELI</v>
      </c>
      <c r="C213" s="280" t="s">
        <v>271</v>
      </c>
      <c r="D213" s="287"/>
      <c r="E213" s="288"/>
      <c r="F213" s="280" t="s">
        <v>222</v>
      </c>
      <c r="G213" s="282" t="str">
        <f>VLOOKUP(F:F,'Model-Vendor'!A:B,2,FALSE)</f>
        <v>P822F001-WA</v>
      </c>
      <c r="H213" s="282" t="str">
        <f>VLOOKUP(F:F,'Model-Vendor'!A:C,3,FALSE)</f>
        <v>NCR</v>
      </c>
      <c r="I213" s="282" t="s">
        <v>59</v>
      </c>
      <c r="J213" s="284" t="str">
        <f>CONCATENATE(TEXT($B$3,"00000"))&amp;"-"&amp;(VLOOKUP(I:I,'Location Legend'!A:B,2,FALSE))&amp;"-"&amp;(VLOOKUP(B:B,'Location Legend'!A:B,2,FALSE))&amp;"-"&amp;A213</f>
        <v>00853-BMP-DEL-209</v>
      </c>
      <c r="K213" s="289">
        <v>4</v>
      </c>
    </row>
    <row r="214" spans="1:11" hidden="1" x14ac:dyDescent="0.35">
      <c r="A214" s="290">
        <v>209</v>
      </c>
      <c r="B214" s="291" t="str">
        <f>B211</f>
        <v>DELI</v>
      </c>
      <c r="C214" s="291" t="s">
        <v>271</v>
      </c>
      <c r="D214" s="292"/>
      <c r="E214" s="293"/>
      <c r="F214" s="294" t="s">
        <v>226</v>
      </c>
      <c r="G214" s="295" t="str">
        <f>VLOOKUP(F:F,'Model-Vendor'!A:B,2,FALSE)</f>
        <v>C31C636084-WA</v>
      </c>
      <c r="H214" s="295" t="str">
        <f>VLOOKUP(F:F,'Model-Vendor'!A:C,3,FALSE)</f>
        <v>EPSON</v>
      </c>
      <c r="I214" s="295" t="s">
        <v>196</v>
      </c>
      <c r="J214" s="296" t="str">
        <f>CONCATENATE(TEXT($B$3,"00000"))&amp;"-"&amp;(VLOOKUP(I:I,'Location Legend'!A:B,2,FALSE))&amp;"-"&amp;(VLOOKUP(B:B,'Location Legend'!A:B,2,FALSE))&amp;"-"&amp;A214</f>
        <v>00853-DPT-DEL-209</v>
      </c>
      <c r="K214" s="297">
        <v>4</v>
      </c>
    </row>
    <row r="215" spans="1:11" s="270" customFormat="1" hidden="1" x14ac:dyDescent="0.35">
      <c r="A215" s="286">
        <v>202</v>
      </c>
      <c r="B215" s="280" t="s">
        <v>180</v>
      </c>
      <c r="C215" s="280" t="s">
        <v>271</v>
      </c>
      <c r="D215" s="287"/>
      <c r="E215" s="288"/>
      <c r="F215" s="280"/>
      <c r="G215" s="282" t="e">
        <f>VLOOKUP(F:F,'Model-Vendor'!A:B,2,FALSE)</f>
        <v>#N/A</v>
      </c>
      <c r="H215" s="282" t="e">
        <f>VLOOKUP(F:F,'Model-Vendor'!A:C,3,FALSE)</f>
        <v>#N/A</v>
      </c>
      <c r="I215" s="282" t="s">
        <v>132</v>
      </c>
      <c r="J215" s="284" t="str">
        <f>CONCATENATE(TEXT($B$3,"00000"))&amp;"-"&amp;(VLOOKUP(I:I,'Location Legend'!A:B,2,FALSE))&amp;"-"&amp;(VLOOKUP(B:B,'Location Legend'!A:B,2,FALSE))&amp;"-"&amp;A215</f>
        <v>00853-MON-DEL-202</v>
      </c>
      <c r="K215" s="289">
        <v>4</v>
      </c>
    </row>
    <row r="216" spans="1:11" s="270" customFormat="1" hidden="1" x14ac:dyDescent="0.35">
      <c r="A216" s="286" t="s">
        <v>188</v>
      </c>
      <c r="B216" s="280" t="str">
        <f>B215</f>
        <v>DELI</v>
      </c>
      <c r="C216" s="280" t="s">
        <v>271</v>
      </c>
      <c r="D216" s="287"/>
      <c r="E216" s="288"/>
      <c r="F216" s="280"/>
      <c r="G216" s="282" t="e">
        <f>VLOOKUP(F:F,'Model-Vendor'!A:B,2,FALSE)</f>
        <v>#N/A</v>
      </c>
      <c r="H216" s="282" t="e">
        <f>VLOOKUP(F:F,'Model-Vendor'!A:C,3,FALSE)</f>
        <v>#N/A</v>
      </c>
      <c r="I216" s="282" t="s">
        <v>132</v>
      </c>
      <c r="J216" s="284" t="str">
        <f>CONCATENATE(TEXT($B$3,"00000"))&amp;"-"&amp;(VLOOKUP(I:I,'Location Legend'!A:B,2,FALSE))&amp;"-"&amp;(VLOOKUP(B:B,'Location Legend'!A:B,2,FALSE))&amp;"-"&amp;A216</f>
        <v>00853-MON-DEL-202A</v>
      </c>
      <c r="K216" s="289">
        <v>4</v>
      </c>
    </row>
    <row r="217" spans="1:11" s="270" customFormat="1" hidden="1" x14ac:dyDescent="0.35">
      <c r="A217" s="286">
        <v>202</v>
      </c>
      <c r="B217" s="280" t="str">
        <f t="shared" ref="B217:B219" si="13">B216</f>
        <v>DELI</v>
      </c>
      <c r="C217" s="280" t="s">
        <v>271</v>
      </c>
      <c r="D217" s="287"/>
      <c r="E217" s="288"/>
      <c r="F217" s="280"/>
      <c r="G217" s="282" t="e">
        <f>VLOOKUP(F:F,'Model-Vendor'!A:B,2,FALSE)</f>
        <v>#N/A</v>
      </c>
      <c r="H217" s="282" t="e">
        <f>VLOOKUP(F:F,'Model-Vendor'!A:C,3,FALSE)</f>
        <v>#N/A</v>
      </c>
      <c r="I217" s="282" t="s">
        <v>126</v>
      </c>
      <c r="J217" s="284" t="str">
        <f>CONCATENATE(TEXT($B$3,"00000"))&amp;"-"&amp;(VLOOKUP(I:I,'Location Legend'!A:B,2,FALSE))&amp;"-"&amp;(VLOOKUP(B:B,'Location Legend'!A:B,2,FALSE))&amp;"-"&amp;A217</f>
        <v>00853-KWI-DEL-202</v>
      </c>
      <c r="K217" s="289">
        <v>4</v>
      </c>
    </row>
    <row r="218" spans="1:11" s="270" customFormat="1" hidden="1" x14ac:dyDescent="0.35">
      <c r="A218" s="286">
        <v>202</v>
      </c>
      <c r="B218" s="280" t="str">
        <f t="shared" si="13"/>
        <v>DELI</v>
      </c>
      <c r="C218" s="280" t="s">
        <v>271</v>
      </c>
      <c r="D218" s="287"/>
      <c r="E218" s="288"/>
      <c r="F218" s="280" t="s">
        <v>222</v>
      </c>
      <c r="G218" s="282" t="str">
        <f>VLOOKUP(F:F,'Model-Vendor'!A:B,2,FALSE)</f>
        <v>P822F001-WA</v>
      </c>
      <c r="H218" s="282" t="str">
        <f>VLOOKUP(F:F,'Model-Vendor'!A:C,3,FALSE)</f>
        <v>NCR</v>
      </c>
      <c r="I218" s="282" t="s">
        <v>59</v>
      </c>
      <c r="J218" s="284" t="str">
        <f>CONCATENATE(TEXT($B$3,"00000"))&amp;"-"&amp;(VLOOKUP(I:I,'Location Legend'!A:B,2,FALSE))&amp;"-"&amp;(VLOOKUP(B:B,'Location Legend'!A:B,2,FALSE))&amp;"-"&amp;A218</f>
        <v>00853-BMP-DEL-202</v>
      </c>
      <c r="K218" s="289">
        <v>4</v>
      </c>
    </row>
    <row r="219" spans="1:11" s="270" customFormat="1" ht="14.5" hidden="1" thickBot="1" x14ac:dyDescent="0.4">
      <c r="A219" s="302">
        <v>202</v>
      </c>
      <c r="B219" s="281" t="str">
        <f t="shared" si="13"/>
        <v>DELI</v>
      </c>
      <c r="C219" s="281" t="s">
        <v>271</v>
      </c>
      <c r="D219" s="303"/>
      <c r="E219" s="304"/>
      <c r="F219" s="305" t="s">
        <v>226</v>
      </c>
      <c r="G219" s="283" t="str">
        <f>VLOOKUP(F:F,'Model-Vendor'!A:B,2,FALSE)</f>
        <v>C31C636084-WA</v>
      </c>
      <c r="H219" s="283" t="str">
        <f>VLOOKUP(F:F,'Model-Vendor'!A:C,3,FALSE)</f>
        <v>EPSON</v>
      </c>
      <c r="I219" s="283" t="s">
        <v>196</v>
      </c>
      <c r="J219" s="285" t="str">
        <f>CONCATENATE(TEXT($B$3,"00000"))&amp;"-"&amp;(VLOOKUP(I:I,'Location Legend'!A:B,2,FALSE))&amp;"-"&amp;(VLOOKUP(B:B,'Location Legend'!A:B,2,FALSE))&amp;"-"&amp;A219</f>
        <v>00853-DPT-DEL-202</v>
      </c>
      <c r="K219" s="306">
        <v>4</v>
      </c>
    </row>
    <row r="220" spans="1:11" s="270" customFormat="1" hidden="1" x14ac:dyDescent="0.35">
      <c r="A220" s="298">
        <v>203</v>
      </c>
      <c r="B220" s="178" t="s">
        <v>180</v>
      </c>
      <c r="C220" s="178" t="s">
        <v>271</v>
      </c>
      <c r="D220" s="299"/>
      <c r="E220" s="300"/>
      <c r="F220" s="178"/>
      <c r="G220" s="179" t="e">
        <f>VLOOKUP(F:F,'Model-Vendor'!A:B,2,FALSE)</f>
        <v>#N/A</v>
      </c>
      <c r="H220" s="179" t="e">
        <f>VLOOKUP(F:F,'Model-Vendor'!A:C,3,FALSE)</f>
        <v>#N/A</v>
      </c>
      <c r="I220" s="179" t="s">
        <v>132</v>
      </c>
      <c r="J220" s="161" t="str">
        <f>CONCATENATE(TEXT($B$3,"00000"))&amp;"-"&amp;(VLOOKUP(I:I,'Location Legend'!A:B,2,FALSE))&amp;"-"&amp;(VLOOKUP(B:B,'Location Legend'!A:B,2,FALSE))&amp;"-"&amp;A220</f>
        <v>00853-MON-DEL-203</v>
      </c>
      <c r="K220" s="301">
        <v>4</v>
      </c>
    </row>
    <row r="221" spans="1:11" s="270" customFormat="1" hidden="1" x14ac:dyDescent="0.35">
      <c r="A221" s="286" t="s">
        <v>351</v>
      </c>
      <c r="B221" s="280" t="str">
        <f>B220</f>
        <v>DELI</v>
      </c>
      <c r="C221" s="280" t="s">
        <v>271</v>
      </c>
      <c r="D221" s="287"/>
      <c r="E221" s="288"/>
      <c r="F221" s="280"/>
      <c r="G221" s="282" t="e">
        <f>VLOOKUP(F:F,'Model-Vendor'!A:B,2,FALSE)</f>
        <v>#N/A</v>
      </c>
      <c r="H221" s="282" t="e">
        <f>VLOOKUP(F:F,'Model-Vendor'!A:C,3,FALSE)</f>
        <v>#N/A</v>
      </c>
      <c r="I221" s="282" t="s">
        <v>132</v>
      </c>
      <c r="J221" s="284" t="str">
        <f>CONCATENATE(TEXT($B$3,"00000"))&amp;"-"&amp;(VLOOKUP(I:I,'Location Legend'!A:B,2,FALSE))&amp;"-"&amp;(VLOOKUP(B:B,'Location Legend'!A:B,2,FALSE))&amp;"-"&amp;A221</f>
        <v>00853-MON-DEL-203A</v>
      </c>
      <c r="K221" s="289">
        <v>4</v>
      </c>
    </row>
    <row r="222" spans="1:11" s="270" customFormat="1" hidden="1" x14ac:dyDescent="0.35">
      <c r="A222" s="286">
        <v>203</v>
      </c>
      <c r="B222" s="280" t="str">
        <f>B220</f>
        <v>DELI</v>
      </c>
      <c r="C222" s="280" t="s">
        <v>271</v>
      </c>
      <c r="D222" s="287"/>
      <c r="E222" s="288"/>
      <c r="F222" s="280"/>
      <c r="G222" s="282" t="e">
        <f>VLOOKUP(F:F,'Model-Vendor'!A:B,2,FALSE)</f>
        <v>#N/A</v>
      </c>
      <c r="H222" s="282" t="e">
        <f>VLOOKUP(F:F,'Model-Vendor'!A:C,3,FALSE)</f>
        <v>#N/A</v>
      </c>
      <c r="I222" s="282" t="s">
        <v>126</v>
      </c>
      <c r="J222" s="284" t="str">
        <f>CONCATENATE(TEXT($B$3,"00000"))&amp;"-"&amp;(VLOOKUP(I:I,'Location Legend'!A:B,2,FALSE))&amp;"-"&amp;(VLOOKUP(B:B,'Location Legend'!A:B,2,FALSE))&amp;"-"&amp;A222</f>
        <v>00853-KWI-DEL-203</v>
      </c>
      <c r="K222" s="289">
        <v>4</v>
      </c>
    </row>
    <row r="223" spans="1:11" s="270" customFormat="1" hidden="1" x14ac:dyDescent="0.35">
      <c r="A223" s="286">
        <v>203</v>
      </c>
      <c r="B223" s="280" t="str">
        <f>B220</f>
        <v>DELI</v>
      </c>
      <c r="C223" s="280" t="s">
        <v>271</v>
      </c>
      <c r="D223" s="287"/>
      <c r="E223" s="288"/>
      <c r="F223" s="280" t="s">
        <v>222</v>
      </c>
      <c r="G223" s="282" t="str">
        <f>VLOOKUP(F:F,'Model-Vendor'!A:B,2,FALSE)</f>
        <v>P822F001-WA</v>
      </c>
      <c r="H223" s="282" t="str">
        <f>VLOOKUP(F:F,'Model-Vendor'!A:C,3,FALSE)</f>
        <v>NCR</v>
      </c>
      <c r="I223" s="282" t="s">
        <v>59</v>
      </c>
      <c r="J223" s="284" t="str">
        <f>CONCATENATE(TEXT($B$3,"00000"))&amp;"-"&amp;(VLOOKUP(I:I,'Location Legend'!A:B,2,FALSE))&amp;"-"&amp;(VLOOKUP(B:B,'Location Legend'!A:B,2,FALSE))&amp;"-"&amp;A223</f>
        <v>00853-BMP-DEL-203</v>
      </c>
      <c r="K223" s="289">
        <v>4</v>
      </c>
    </row>
    <row r="224" spans="1:11" s="270" customFormat="1" ht="14.5" hidden="1" thickBot="1" x14ac:dyDescent="0.4">
      <c r="A224" s="302">
        <v>203</v>
      </c>
      <c r="B224" s="281" t="str">
        <f>B220</f>
        <v>DELI</v>
      </c>
      <c r="C224" s="281" t="s">
        <v>271</v>
      </c>
      <c r="D224" s="303"/>
      <c r="E224" s="304"/>
      <c r="F224" s="305" t="s">
        <v>226</v>
      </c>
      <c r="G224" s="283" t="str">
        <f>VLOOKUP(F:F,'Model-Vendor'!A:B,2,FALSE)</f>
        <v>C31C636084-WA</v>
      </c>
      <c r="H224" s="283" t="str">
        <f>VLOOKUP(F:F,'Model-Vendor'!A:C,3,FALSE)</f>
        <v>EPSON</v>
      </c>
      <c r="I224" s="283" t="s">
        <v>196</v>
      </c>
      <c r="J224" s="285" t="str">
        <f>CONCATENATE(TEXT($B$3,"00000"))&amp;"-"&amp;(VLOOKUP(I:I,'Location Legend'!A:B,2,FALSE))&amp;"-"&amp;(VLOOKUP(B:B,'Location Legend'!A:B,2,FALSE))&amp;"-"&amp;A224</f>
        <v>00853-DPT-DEL-203</v>
      </c>
      <c r="K224" s="306">
        <v>4</v>
      </c>
    </row>
    <row r="225" spans="1:11" s="270" customFormat="1" hidden="1" x14ac:dyDescent="0.35">
      <c r="A225" s="298">
        <v>204</v>
      </c>
      <c r="B225" s="178" t="s">
        <v>180</v>
      </c>
      <c r="C225" s="178" t="s">
        <v>271</v>
      </c>
      <c r="D225" s="299"/>
      <c r="E225" s="300"/>
      <c r="F225" s="178"/>
      <c r="G225" s="179" t="e">
        <f>VLOOKUP(F:F,'Model-Vendor'!A:B,2,FALSE)</f>
        <v>#N/A</v>
      </c>
      <c r="H225" s="179" t="e">
        <f>VLOOKUP(F:F,'Model-Vendor'!A:C,3,FALSE)</f>
        <v>#N/A</v>
      </c>
      <c r="I225" s="179" t="s">
        <v>132</v>
      </c>
      <c r="J225" s="161" t="str">
        <f>CONCATENATE(TEXT($B$3,"00000"))&amp;"-"&amp;(VLOOKUP(I:I,'Location Legend'!A:B,2,FALSE))&amp;"-"&amp;(VLOOKUP(B:B,'Location Legend'!A:B,2,FALSE))&amp;"-"&amp;A225</f>
        <v>00853-MON-DEL-204</v>
      </c>
      <c r="K225" s="301">
        <v>4</v>
      </c>
    </row>
    <row r="226" spans="1:11" s="270" customFormat="1" hidden="1" x14ac:dyDescent="0.35">
      <c r="A226" s="286">
        <v>204</v>
      </c>
      <c r="B226" s="280" t="str">
        <f>B225</f>
        <v>DELI</v>
      </c>
      <c r="C226" s="280" t="s">
        <v>271</v>
      </c>
      <c r="D226" s="287"/>
      <c r="E226" s="288"/>
      <c r="F226" s="280"/>
      <c r="G226" s="282" t="e">
        <f>VLOOKUP(F:F,'Model-Vendor'!A:B,2,FALSE)</f>
        <v>#N/A</v>
      </c>
      <c r="H226" s="282" t="e">
        <f>VLOOKUP(F:F,'Model-Vendor'!A:C,3,FALSE)</f>
        <v>#N/A</v>
      </c>
      <c r="I226" s="282" t="s">
        <v>126</v>
      </c>
      <c r="J226" s="284" t="str">
        <f>CONCATENATE(TEXT($B$3,"00000"))&amp;"-"&amp;(VLOOKUP(I:I,'Location Legend'!A:B,2,FALSE))&amp;"-"&amp;(VLOOKUP(B:B,'Location Legend'!A:B,2,FALSE))&amp;"-"&amp;A226</f>
        <v>00853-KWI-DEL-204</v>
      </c>
      <c r="K226" s="289">
        <v>4</v>
      </c>
    </row>
    <row r="227" spans="1:11" s="270" customFormat="1" hidden="1" x14ac:dyDescent="0.35">
      <c r="A227" s="286">
        <v>204</v>
      </c>
      <c r="B227" s="280" t="str">
        <f>B225</f>
        <v>DELI</v>
      </c>
      <c r="C227" s="280" t="s">
        <v>271</v>
      </c>
      <c r="D227" s="287"/>
      <c r="E227" s="288"/>
      <c r="F227" s="280" t="s">
        <v>222</v>
      </c>
      <c r="G227" s="282" t="str">
        <f>VLOOKUP(F:F,'Model-Vendor'!A:B,2,FALSE)</f>
        <v>P822F001-WA</v>
      </c>
      <c r="H227" s="282" t="str">
        <f>VLOOKUP(F:F,'Model-Vendor'!A:C,3,FALSE)</f>
        <v>NCR</v>
      </c>
      <c r="I227" s="282" t="s">
        <v>59</v>
      </c>
      <c r="J227" s="284" t="str">
        <f>CONCATENATE(TEXT($B$3,"00000"))&amp;"-"&amp;(VLOOKUP(I:I,'Location Legend'!A:B,2,FALSE))&amp;"-"&amp;(VLOOKUP(B:B,'Location Legend'!A:B,2,FALSE))&amp;"-"&amp;A227</f>
        <v>00853-BMP-DEL-204</v>
      </c>
      <c r="K227" s="289">
        <v>4</v>
      </c>
    </row>
    <row r="228" spans="1:11" s="270" customFormat="1" ht="14.5" hidden="1" thickBot="1" x14ac:dyDescent="0.4">
      <c r="A228" s="302">
        <v>204</v>
      </c>
      <c r="B228" s="281" t="str">
        <f>B225</f>
        <v>DELI</v>
      </c>
      <c r="C228" s="281" t="s">
        <v>271</v>
      </c>
      <c r="D228" s="303"/>
      <c r="E228" s="304"/>
      <c r="F228" s="305" t="s">
        <v>226</v>
      </c>
      <c r="G228" s="283" t="str">
        <f>VLOOKUP(F:F,'Model-Vendor'!A:B,2,FALSE)</f>
        <v>C31C636084-WA</v>
      </c>
      <c r="H228" s="283" t="str">
        <f>VLOOKUP(F:F,'Model-Vendor'!A:C,3,FALSE)</f>
        <v>EPSON</v>
      </c>
      <c r="I228" s="283" t="s">
        <v>196</v>
      </c>
      <c r="J228" s="285" t="str">
        <f>CONCATENATE(TEXT($B$3,"00000"))&amp;"-"&amp;(VLOOKUP(I:I,'Location Legend'!A:B,2,FALSE))&amp;"-"&amp;(VLOOKUP(B:B,'Location Legend'!A:B,2,FALSE))&amp;"-"&amp;A228</f>
        <v>00853-DPT-DEL-204</v>
      </c>
      <c r="K228" s="306">
        <v>4</v>
      </c>
    </row>
  </sheetData>
  <sheetProtection algorithmName="SHA-512" hashValue="Q5Lc8Zj+A54UgMLId3iq4GONFnJ1JJ0PV4DoEMF7KnW5HE2b343X30tRBkl81Y79elt7jmay5bmAM6GWYrUDzQ==" saltValue="x3ecGNt0PKaSDkNylFHI1w==" spinCount="100000" sheet="1" formatRows="0" selectLockedCells="1" autoFilter="0"/>
  <protectedRanges>
    <protectedRange algorithmName="SHA-512" hashValue="T2nEXrqJvFm30wE9RLQdmHRRTRCfuUZbQqRQn0+Y+4zsWm39h2Y/T0ovG6RS41FK12ef53i0ItI5dso6e20I9w==" saltValue="VXyDSra/d6Le3UtC4NOlog==" spinCount="100000" sqref="G1:H1 D10:E10 I1:J25 G233:J1048576 J206:J209 G210:J228 G7:H25 G26:J205" name="Range1"/>
    <protectedRange algorithmName="SHA-512" hashValue="T2nEXrqJvFm30wE9RLQdmHRRTRCfuUZbQqRQn0+Y+4zsWm39h2Y/T0ovG6RS41FK12ef53i0ItI5dso6e20I9w==" saltValue="VXyDSra/d6Le3UtC4NOlog==" spinCount="100000" sqref="G206:I207" name="Range1_1_1"/>
    <protectedRange algorithmName="SHA-512" hashValue="T2nEXrqJvFm30wE9RLQdmHRRTRCfuUZbQqRQn0+Y+4zsWm39h2Y/T0ovG6RS41FK12ef53i0ItI5dso6e20I9w==" saltValue="VXyDSra/d6Le3UtC4NOlog==" spinCount="100000" sqref="G209:I209" name="Range1_1_2"/>
    <protectedRange algorithmName="SHA-512" hashValue="T2nEXrqJvFm30wE9RLQdmHRRTRCfuUZbQqRQn0+Y+4zsWm39h2Y/T0ovG6RS41FK12ef53i0ItI5dso6e20I9w==" saltValue="VXyDSra/d6Le3UtC4NOlog==" spinCount="100000" sqref="D2:E4" name="Range1_2"/>
    <protectedRange algorithmName="SHA-512" hashValue="T2nEXrqJvFm30wE9RLQdmHRRTRCfuUZbQqRQn0+Y+4zsWm39h2Y/T0ovG6RS41FK12ef53i0ItI5dso6e20I9w==" saltValue="VXyDSra/d6Le3UtC4NOlog==" spinCount="100000" sqref="D1" name="Range1_3"/>
  </protectedRanges>
  <sortState xmlns:xlrd2="http://schemas.microsoft.com/office/spreadsheetml/2017/richdata2" ref="A181:J199">
    <sortCondition ref="B190:B199"/>
  </sortState>
  <mergeCells count="3">
    <mergeCell ref="N16:O16"/>
    <mergeCell ref="M17:Q17"/>
    <mergeCell ref="D1:E1"/>
  </mergeCells>
  <conditionalFormatting sqref="J233:J1048576 J15:J16">
    <cfRule type="duplicateValues" dxfId="320" priority="864"/>
  </conditionalFormatting>
  <conditionalFormatting sqref="J233:J1048576 J145 J15:J17 J61">
    <cfRule type="duplicateValues" dxfId="319" priority="849"/>
  </conditionalFormatting>
  <conditionalFormatting sqref="J31">
    <cfRule type="duplicateValues" dxfId="318" priority="725"/>
  </conditionalFormatting>
  <conditionalFormatting sqref="A62:A68 F68">
    <cfRule type="expression" dxfId="317" priority="723">
      <formula>#REF!&gt;=1</formula>
    </cfRule>
  </conditionalFormatting>
  <conditionalFormatting sqref="A69:A75 F75">
    <cfRule type="expression" dxfId="316" priority="722">
      <formula>#REF!&gt;=2</formula>
    </cfRule>
  </conditionalFormatting>
  <conditionalFormatting sqref="A76:A82 F82">
    <cfRule type="expression" dxfId="315" priority="721">
      <formula>#REF!&gt;=3</formula>
    </cfRule>
  </conditionalFormatting>
  <conditionalFormatting sqref="A83:A89 F89">
    <cfRule type="expression" dxfId="314" priority="720">
      <formula>#REF!&gt;=4</formula>
    </cfRule>
  </conditionalFormatting>
  <conditionalFormatting sqref="A90:A96 F96">
    <cfRule type="expression" dxfId="313" priority="719">
      <formula>#REF!&gt;=5</formula>
    </cfRule>
  </conditionalFormatting>
  <conditionalFormatting sqref="A97:A103 F103">
    <cfRule type="expression" dxfId="312" priority="718">
      <formula>#REF!&gt;=6</formula>
    </cfRule>
  </conditionalFormatting>
  <conditionalFormatting sqref="A118:A124 F124">
    <cfRule type="expression" dxfId="311" priority="717">
      <formula>#REF!&gt;=7</formula>
    </cfRule>
  </conditionalFormatting>
  <conditionalFormatting sqref="A125:C127 F129 A129:C129">
    <cfRule type="expression" dxfId="310" priority="716">
      <formula>#REF!&gt;=1</formula>
    </cfRule>
  </conditionalFormatting>
  <conditionalFormatting sqref="A130:C132 F134 A134:C134">
    <cfRule type="expression" dxfId="309" priority="715">
      <formula>#REF!&gt;=2</formula>
    </cfRule>
  </conditionalFormatting>
  <conditionalFormatting sqref="A135:C137 F139 A139:C139">
    <cfRule type="expression" dxfId="308" priority="714">
      <formula>#REF!&gt;=3</formula>
    </cfRule>
  </conditionalFormatting>
  <conditionalFormatting sqref="A140:C142 F144 A144:C144">
    <cfRule type="expression" dxfId="307" priority="713">
      <formula>#REF!&gt;=4</formula>
    </cfRule>
  </conditionalFormatting>
  <conditionalFormatting sqref="A146:A149">
    <cfRule type="expression" dxfId="306" priority="712">
      <formula>#REF!&gt;=1</formula>
    </cfRule>
  </conditionalFormatting>
  <conditionalFormatting sqref="A150:A153">
    <cfRule type="expression" dxfId="305" priority="711">
      <formula>#REF!&gt;=2</formula>
    </cfRule>
  </conditionalFormatting>
  <conditionalFormatting sqref="A154:A157">
    <cfRule type="expression" dxfId="304" priority="709">
      <formula>#REF!&gt;=3</formula>
    </cfRule>
  </conditionalFormatting>
  <conditionalFormatting sqref="A158:A161">
    <cfRule type="expression" dxfId="303" priority="708">
      <formula>#REF!&gt;=4</formula>
    </cfRule>
  </conditionalFormatting>
  <conditionalFormatting sqref="A162:A165">
    <cfRule type="expression" dxfId="302" priority="707">
      <formula>#REF!&gt;=5</formula>
    </cfRule>
  </conditionalFormatting>
  <conditionalFormatting sqref="A166:A169">
    <cfRule type="expression" dxfId="301" priority="706">
      <formula>#REF!&gt;=6</formula>
    </cfRule>
  </conditionalFormatting>
  <conditionalFormatting sqref="D38:E38 F25 D32:E36 D41:E44 D62:E75 C19:D19 D49:E52 D17:E26 C57:E57 D171:E191 D60:E60 D55:E58 B55:C56 D211:E228 D146:E169 D196:E200">
    <cfRule type="cellIs" dxfId="300" priority="351" operator="greaterThan">
      <formula>0</formula>
    </cfRule>
  </conditionalFormatting>
  <conditionalFormatting sqref="C62:C68">
    <cfRule type="expression" dxfId="299" priority="702">
      <formula>#REF!&gt;=1</formula>
    </cfRule>
  </conditionalFormatting>
  <conditionalFormatting sqref="C69:C75">
    <cfRule type="expression" dxfId="298" priority="701">
      <formula>#REF!&gt;=2</formula>
    </cfRule>
  </conditionalFormatting>
  <conditionalFormatting sqref="C76:C82">
    <cfRule type="expression" dxfId="297" priority="700">
      <formula>#REF!&gt;=3</formula>
    </cfRule>
  </conditionalFormatting>
  <conditionalFormatting sqref="C83:C89">
    <cfRule type="expression" dxfId="296" priority="699">
      <formula>#REF!&gt;=4</formula>
    </cfRule>
  </conditionalFormatting>
  <conditionalFormatting sqref="C90:C96">
    <cfRule type="expression" dxfId="295" priority="698">
      <formula>#REF!&gt;=5</formula>
    </cfRule>
  </conditionalFormatting>
  <conditionalFormatting sqref="C97:C103">
    <cfRule type="expression" dxfId="294" priority="697">
      <formula>#REF!&gt;=6</formula>
    </cfRule>
  </conditionalFormatting>
  <conditionalFormatting sqref="C118:C124">
    <cfRule type="expression" dxfId="293" priority="696">
      <formula>#REF!&gt;=7</formula>
    </cfRule>
  </conditionalFormatting>
  <conditionalFormatting sqref="D62:D68">
    <cfRule type="expression" dxfId="292" priority="682">
      <formula>#REF!&gt;=1</formula>
    </cfRule>
  </conditionalFormatting>
  <conditionalFormatting sqref="D69:D75">
    <cfRule type="expression" dxfId="291" priority="681">
      <formula>#REF!&gt;=2</formula>
    </cfRule>
  </conditionalFormatting>
  <conditionalFormatting sqref="E62:E68">
    <cfRule type="expression" dxfId="290" priority="660">
      <formula>#REF!&gt;=1</formula>
    </cfRule>
  </conditionalFormatting>
  <conditionalFormatting sqref="E69:E75">
    <cfRule type="expression" dxfId="289" priority="659">
      <formula>#REF!&gt;=2</formula>
    </cfRule>
  </conditionalFormatting>
  <conditionalFormatting sqref="F63:F64 F66">
    <cfRule type="expression" dxfId="288" priority="630">
      <formula>#REF!&gt;=1</formula>
    </cfRule>
  </conditionalFormatting>
  <conditionalFormatting sqref="F70:F71 F73">
    <cfRule type="expression" dxfId="287" priority="629">
      <formula>#REF!&gt;=2</formula>
    </cfRule>
  </conditionalFormatting>
  <conditionalFormatting sqref="F77:F78 F80">
    <cfRule type="expression" dxfId="286" priority="628">
      <formula>#REF!&gt;=3</formula>
    </cfRule>
  </conditionalFormatting>
  <conditionalFormatting sqref="F84:F85 F87">
    <cfRule type="expression" dxfId="285" priority="627">
      <formula>#REF!&gt;=4</formula>
    </cfRule>
  </conditionalFormatting>
  <conditionalFormatting sqref="F91:F92 F94">
    <cfRule type="expression" dxfId="284" priority="626">
      <formula>#REF!&gt;=5</formula>
    </cfRule>
  </conditionalFormatting>
  <conditionalFormatting sqref="F98:F99 F101">
    <cfRule type="expression" dxfId="283" priority="625">
      <formula>#REF!&gt;=6</formula>
    </cfRule>
  </conditionalFormatting>
  <conditionalFormatting sqref="F119:F120 F122">
    <cfRule type="expression" dxfId="282" priority="624">
      <formula>#REF!&gt;=7</formula>
    </cfRule>
  </conditionalFormatting>
  <conditionalFormatting sqref="F126">
    <cfRule type="expression" dxfId="281" priority="623">
      <formula>#REF!&gt;=1</formula>
    </cfRule>
  </conditionalFormatting>
  <conditionalFormatting sqref="F131">
    <cfRule type="expression" dxfId="280" priority="622">
      <formula>#REF!&gt;=2</formula>
    </cfRule>
  </conditionalFormatting>
  <conditionalFormatting sqref="F136">
    <cfRule type="expression" dxfId="279" priority="621">
      <formula>#REF!&gt;=3</formula>
    </cfRule>
  </conditionalFormatting>
  <conditionalFormatting sqref="F141">
    <cfRule type="expression" dxfId="278" priority="620">
      <formula>#REF!&gt;=4</formula>
    </cfRule>
  </conditionalFormatting>
  <conditionalFormatting sqref="F62 F67">
    <cfRule type="expression" dxfId="277" priority="619">
      <formula>#REF!&gt;=1</formula>
    </cfRule>
  </conditionalFormatting>
  <conditionalFormatting sqref="F69 F74">
    <cfRule type="expression" dxfId="276" priority="618">
      <formula>#REF!&gt;=2</formula>
    </cfRule>
  </conditionalFormatting>
  <conditionalFormatting sqref="F76 F81">
    <cfRule type="expression" dxfId="275" priority="617">
      <formula>#REF!&gt;=3</formula>
    </cfRule>
  </conditionalFormatting>
  <conditionalFormatting sqref="F83 F88">
    <cfRule type="expression" dxfId="274" priority="616">
      <formula>#REF!&gt;=4</formula>
    </cfRule>
  </conditionalFormatting>
  <conditionalFormatting sqref="F90 F95">
    <cfRule type="expression" dxfId="273" priority="615">
      <formula>#REF!&gt;=5</formula>
    </cfRule>
  </conditionalFormatting>
  <conditionalFormatting sqref="F97 F102">
    <cfRule type="expression" dxfId="272" priority="614">
      <formula>#REF!&gt;=6</formula>
    </cfRule>
  </conditionalFormatting>
  <conditionalFormatting sqref="F118 F123">
    <cfRule type="expression" dxfId="271" priority="613">
      <formula>#REF!&gt;=7</formula>
    </cfRule>
  </conditionalFormatting>
  <conditionalFormatting sqref="F127">
    <cfRule type="expression" dxfId="270" priority="612">
      <formula>#REF!&gt;=1</formula>
    </cfRule>
  </conditionalFormatting>
  <conditionalFormatting sqref="F132">
    <cfRule type="expression" dxfId="269" priority="611">
      <formula>#REF!&gt;=2</formula>
    </cfRule>
  </conditionalFormatting>
  <conditionalFormatting sqref="F135 F137">
    <cfRule type="expression" dxfId="268" priority="610">
      <formula>#REF!&gt;=3</formula>
    </cfRule>
  </conditionalFormatting>
  <conditionalFormatting sqref="F140 F142">
    <cfRule type="expression" dxfId="267" priority="609">
      <formula>#REF!&gt;=4</formula>
    </cfRule>
  </conditionalFormatting>
  <conditionalFormatting sqref="B146:B149">
    <cfRule type="expression" dxfId="266" priority="607">
      <formula>#REF!&gt;=1</formula>
    </cfRule>
  </conditionalFormatting>
  <conditionalFormatting sqref="B150:B153">
    <cfRule type="expression" dxfId="265" priority="606">
      <formula>#REF!&gt;=2</formula>
    </cfRule>
  </conditionalFormatting>
  <conditionalFormatting sqref="B154:B157">
    <cfRule type="expression" dxfId="264" priority="605">
      <formula>#REF!&gt;=3</formula>
    </cfRule>
  </conditionalFormatting>
  <conditionalFormatting sqref="B158:B161">
    <cfRule type="expression" dxfId="263" priority="604">
      <formula>#REF!&gt;=4</formula>
    </cfRule>
  </conditionalFormatting>
  <conditionalFormatting sqref="B162:B165">
    <cfRule type="expression" dxfId="262" priority="603">
      <formula>#REF!&gt;=5</formula>
    </cfRule>
  </conditionalFormatting>
  <conditionalFormatting sqref="B166:B169">
    <cfRule type="expression" dxfId="261" priority="602">
      <formula>#REF!&gt;=6</formula>
    </cfRule>
  </conditionalFormatting>
  <conditionalFormatting sqref="C146:C149">
    <cfRule type="expression" dxfId="260" priority="601">
      <formula>#REF!&gt;=1</formula>
    </cfRule>
  </conditionalFormatting>
  <conditionalFormatting sqref="C150:C153">
    <cfRule type="expression" dxfId="259" priority="600">
      <formula>#REF!&gt;=2</formula>
    </cfRule>
  </conditionalFormatting>
  <conditionalFormatting sqref="C154:C157">
    <cfRule type="expression" dxfId="258" priority="599">
      <formula>#REF!&gt;=3</formula>
    </cfRule>
  </conditionalFormatting>
  <conditionalFormatting sqref="C158:C161">
    <cfRule type="expression" dxfId="257" priority="598">
      <formula>#REF!&gt;=4</formula>
    </cfRule>
  </conditionalFormatting>
  <conditionalFormatting sqref="C162:C165">
    <cfRule type="expression" dxfId="256" priority="597">
      <formula>#REF!&gt;=5</formula>
    </cfRule>
  </conditionalFormatting>
  <conditionalFormatting sqref="C166:C169">
    <cfRule type="expression" dxfId="255" priority="596">
      <formula>#REF!&gt;=6</formula>
    </cfRule>
  </conditionalFormatting>
  <conditionalFormatting sqref="F148">
    <cfRule type="expression" dxfId="254" priority="577">
      <formula>#REF!&gt;=1</formula>
    </cfRule>
  </conditionalFormatting>
  <conditionalFormatting sqref="F164">
    <cfRule type="expression" dxfId="253" priority="573">
      <formula>#REF!&gt;=5</formula>
    </cfRule>
  </conditionalFormatting>
  <conditionalFormatting sqref="F168">
    <cfRule type="expression" dxfId="252" priority="572">
      <formula>#REF!&gt;=6</formula>
    </cfRule>
  </conditionalFormatting>
  <conditionalFormatting sqref="F146:F147">
    <cfRule type="expression" dxfId="251" priority="571">
      <formula>#REF!&gt;=1</formula>
    </cfRule>
  </conditionalFormatting>
  <conditionalFormatting sqref="F149">
    <cfRule type="expression" dxfId="250" priority="568">
      <formula>#REF!&gt;=1</formula>
    </cfRule>
  </conditionalFormatting>
  <conditionalFormatting sqref="F162:F163">
    <cfRule type="expression" dxfId="249" priority="555">
      <formula>#REF!&gt;=5</formula>
    </cfRule>
  </conditionalFormatting>
  <conditionalFormatting sqref="F165">
    <cfRule type="expression" dxfId="248" priority="553">
      <formula>#REF!&gt;=5</formula>
    </cfRule>
  </conditionalFormatting>
  <conditionalFormatting sqref="F166:F167">
    <cfRule type="expression" dxfId="247" priority="551">
      <formula>#REF!&gt;=6</formula>
    </cfRule>
  </conditionalFormatting>
  <conditionalFormatting sqref="F169">
    <cfRule type="expression" dxfId="246" priority="549">
      <formula>#REF!&gt;=6</formula>
    </cfRule>
  </conditionalFormatting>
  <conditionalFormatting sqref="J48">
    <cfRule type="duplicateValues" dxfId="245" priority="547"/>
  </conditionalFormatting>
  <conditionalFormatting sqref="J170">
    <cfRule type="duplicateValues" dxfId="244" priority="546"/>
  </conditionalFormatting>
  <conditionalFormatting sqref="J40">
    <cfRule type="duplicateValues" dxfId="243" priority="545"/>
  </conditionalFormatting>
  <conditionalFormatting sqref="J45">
    <cfRule type="duplicateValues" dxfId="242" priority="544"/>
  </conditionalFormatting>
  <conditionalFormatting sqref="A28">
    <cfRule type="expression" dxfId="241" priority="534">
      <formula>#REF!="Yes"</formula>
    </cfRule>
  </conditionalFormatting>
  <conditionalFormatting sqref="A27">
    <cfRule type="expression" dxfId="240" priority="533">
      <formula>#REF!="Yes"</formula>
    </cfRule>
  </conditionalFormatting>
  <conditionalFormatting sqref="F20:F22">
    <cfRule type="cellIs" dxfId="239" priority="531" operator="greaterThan">
      <formula>0</formula>
    </cfRule>
  </conditionalFormatting>
  <conditionalFormatting sqref="F32 F36 F38 F49:F52 F41:F44 F55">
    <cfRule type="cellIs" dxfId="238" priority="446" operator="greaterThan">
      <formula>0</formula>
    </cfRule>
  </conditionalFormatting>
  <conditionalFormatting sqref="B52:C52 C32 C57:C60 C41:C44 B49:B51">
    <cfRule type="cellIs" dxfId="237" priority="447" operator="greaterThan">
      <formula>0</formula>
    </cfRule>
  </conditionalFormatting>
  <conditionalFormatting sqref="B62:B103 B118:B124">
    <cfRule type="cellIs" dxfId="236" priority="521" operator="greaterThan">
      <formula>0</formula>
    </cfRule>
  </conditionalFormatting>
  <conditionalFormatting sqref="B62:B68">
    <cfRule type="expression" dxfId="235" priority="527">
      <formula>#REF!&gt;=1</formula>
    </cfRule>
  </conditionalFormatting>
  <conditionalFormatting sqref="B69:B75">
    <cfRule type="expression" dxfId="234" priority="526">
      <formula>#REF!&gt;=2</formula>
    </cfRule>
  </conditionalFormatting>
  <conditionalFormatting sqref="B76:B82">
    <cfRule type="expression" dxfId="233" priority="525">
      <formula>#REF!&gt;=3</formula>
    </cfRule>
  </conditionalFormatting>
  <conditionalFormatting sqref="B83:B89">
    <cfRule type="expression" dxfId="232" priority="524">
      <formula>#REF!&gt;=4</formula>
    </cfRule>
  </conditionalFormatting>
  <conditionalFormatting sqref="B90:B96">
    <cfRule type="expression" dxfId="231" priority="523">
      <formula>#REF!&gt;=5</formula>
    </cfRule>
  </conditionalFormatting>
  <conditionalFormatting sqref="B97:B103">
    <cfRule type="expression" dxfId="230" priority="522">
      <formula>#REF!&gt;=6</formula>
    </cfRule>
  </conditionalFormatting>
  <conditionalFormatting sqref="B118:B124">
    <cfRule type="expression" dxfId="229" priority="528">
      <formula>#REF!&gt;=7</formula>
    </cfRule>
  </conditionalFormatting>
  <conditionalFormatting sqref="F62 F67 F74 F81 F88 F95 F102 F123 F69 F76 F83 F90 F97 F118">
    <cfRule type="cellIs" dxfId="228" priority="518" operator="greaterThan">
      <formula>0</formula>
    </cfRule>
  </conditionalFormatting>
  <conditionalFormatting sqref="F127 F132 F135 F137 F140 F142">
    <cfRule type="cellIs" dxfId="227" priority="517" operator="greaterThan">
      <formula>0</formula>
    </cfRule>
  </conditionalFormatting>
  <conditionalFormatting sqref="F146 F162 F166">
    <cfRule type="cellIs" dxfId="226" priority="516" operator="greaterThan">
      <formula>0</formula>
    </cfRule>
  </conditionalFormatting>
  <conditionalFormatting sqref="F147 F163 F167">
    <cfRule type="cellIs" dxfId="225" priority="515" operator="greaterThan">
      <formula>0</formula>
    </cfRule>
  </conditionalFormatting>
  <conditionalFormatting sqref="F149 F165 F169">
    <cfRule type="cellIs" dxfId="224" priority="514" operator="greaterThan">
      <formula>0</formula>
    </cfRule>
  </conditionalFormatting>
  <conditionalFormatting sqref="F171:F172 F215:F216 F181">
    <cfRule type="cellIs" dxfId="223" priority="415" operator="greaterThan">
      <formula>0</formula>
    </cfRule>
  </conditionalFormatting>
  <conditionalFormatting sqref="F173 F217 F182">
    <cfRule type="cellIs" dxfId="222" priority="408" operator="greaterThan">
      <formula>0</formula>
    </cfRule>
  </conditionalFormatting>
  <conditionalFormatting sqref="J29">
    <cfRule type="duplicateValues" dxfId="221" priority="502"/>
  </conditionalFormatting>
  <conditionalFormatting sqref="B28">
    <cfRule type="expression" dxfId="220" priority="476">
      <formula>#REF!="YES"</formula>
    </cfRule>
    <cfRule type="expression" dxfId="219" priority="494">
      <formula>#REF!="Yes"</formula>
    </cfRule>
  </conditionalFormatting>
  <conditionalFormatting sqref="F28">
    <cfRule type="expression" dxfId="218" priority="486">
      <formula>#REF!="Yes"</formula>
    </cfRule>
  </conditionalFormatting>
  <conditionalFormatting sqref="F27">
    <cfRule type="expression" dxfId="217" priority="485">
      <formula>#REF!="Yes"</formula>
    </cfRule>
  </conditionalFormatting>
  <conditionalFormatting sqref="F27:F28">
    <cfRule type="cellIs" dxfId="216" priority="483" operator="greaterThan">
      <formula>0</formula>
    </cfRule>
  </conditionalFormatting>
  <conditionalFormatting sqref="F30">
    <cfRule type="cellIs" dxfId="215" priority="477" operator="greaterThan">
      <formula>0</formula>
    </cfRule>
  </conditionalFormatting>
  <conditionalFormatting sqref="B27">
    <cfRule type="expression" dxfId="214" priority="474">
      <formula>#REF!="YES"</formula>
    </cfRule>
    <cfRule type="expression" dxfId="213" priority="475">
      <formula>#REF!="Yes"</formula>
    </cfRule>
  </conditionalFormatting>
  <conditionalFormatting sqref="A46:A47">
    <cfRule type="expression" dxfId="212" priority="473">
      <formula>#REF!="YES"</formula>
    </cfRule>
  </conditionalFormatting>
  <conditionalFormatting sqref="A30">
    <cfRule type="expression" dxfId="211" priority="877">
      <formula>#REF!="Yes"</formula>
    </cfRule>
  </conditionalFormatting>
  <conditionalFormatting sqref="F30">
    <cfRule type="expression" dxfId="210" priority="878">
      <formula>#REF!="Yes"</formula>
    </cfRule>
  </conditionalFormatting>
  <conditionalFormatting sqref="D62:E75">
    <cfRule type="cellIs" dxfId="209" priority="463" operator="greaterThan">
      <formula>0</formula>
    </cfRule>
  </conditionalFormatting>
  <conditionalFormatting sqref="D37:E37">
    <cfRule type="cellIs" dxfId="208" priority="403" operator="greaterThan">
      <formula>0</formula>
    </cfRule>
    <cfRule type="expression" dxfId="207" priority="461">
      <formula>LEFT($F37,6)="LENOVO"</formula>
    </cfRule>
  </conditionalFormatting>
  <conditionalFormatting sqref="A43:A44">
    <cfRule type="expression" dxfId="206" priority="451">
      <formula>#REF!&gt;1</formula>
    </cfRule>
  </conditionalFormatting>
  <conditionalFormatting sqref="A41:A42">
    <cfRule type="expression" dxfId="205" priority="450">
      <formula>#REF!&gt;0</formula>
    </cfRule>
  </conditionalFormatting>
  <conditionalFormatting sqref="F41:F42 C41:C42">
    <cfRule type="expression" dxfId="204" priority="530">
      <formula>#REF!&gt;0</formula>
    </cfRule>
  </conditionalFormatting>
  <conditionalFormatting sqref="D41:E42">
    <cfRule type="expression" dxfId="203" priority="703">
      <formula>#REF!&gt;0</formula>
    </cfRule>
  </conditionalFormatting>
  <conditionalFormatting sqref="C43:C44">
    <cfRule type="expression" dxfId="202" priority="449">
      <formula>#REF!&gt;1</formula>
    </cfRule>
  </conditionalFormatting>
  <conditionalFormatting sqref="F43:F44">
    <cfRule type="expression" dxfId="201" priority="529">
      <formula>#REF!&gt;1</formula>
    </cfRule>
  </conditionalFormatting>
  <conditionalFormatting sqref="D43:E44">
    <cfRule type="expression" dxfId="200" priority="448">
      <formula>#REF!&gt;1</formula>
    </cfRule>
  </conditionalFormatting>
  <conditionalFormatting sqref="F171:F173">
    <cfRule type="expression" dxfId="199" priority="513">
      <formula>$D$171&gt;0</formula>
    </cfRule>
  </conditionalFormatting>
  <conditionalFormatting sqref="A74:I74 A81:C81 A88:C88 A95:C95 A102:C102 A123:C123 A127:C127 A132:C132 A137:C137 A142:C142 A153:C153 A157:C157 A161:C161 A165:C165 A169:C169 G128:I128 G133:I133 G138:I138 G143:I143 F142:I142 F137:I137 F132:I132 F127:I127 F123:I123 F102:I102 F95:I95 F88:I88 F81:I81 F169:I169 F165:I165 G161:I161 G157:I157 G153:I153 A57:A58 A52:F52 A56:E56 C57:E58 C60:E60 A60 C59 A55:F55 A49:B51 D49:F51">
    <cfRule type="expression" dxfId="198" priority="401">
      <formula>#REF!&gt;0</formula>
    </cfRule>
  </conditionalFormatting>
  <conditionalFormatting sqref="A67:I67">
    <cfRule type="expression" dxfId="197" priority="400">
      <formula>#REF!&gt;0</formula>
    </cfRule>
  </conditionalFormatting>
  <conditionalFormatting sqref="A149:C149 F149:I149">
    <cfRule type="expression" dxfId="196" priority="399">
      <formula>#REF!&gt;0</formula>
    </cfRule>
  </conditionalFormatting>
  <conditionalFormatting sqref="F183 F179:F180 A171:A183 A202:A205 C181:C183 C202:C205">
    <cfRule type="expression" dxfId="195" priority="354">
      <formula>#REF!&gt;0</formula>
    </cfRule>
  </conditionalFormatting>
  <conditionalFormatting sqref="C171:C180">
    <cfRule type="expression" dxfId="194" priority="353">
      <formula>#REF!&gt;0</formula>
    </cfRule>
  </conditionalFormatting>
  <conditionalFormatting sqref="A184:A187">
    <cfRule type="expression" dxfId="193" priority="350">
      <formula>#REF!&gt;0</formula>
    </cfRule>
  </conditionalFormatting>
  <conditionalFormatting sqref="C184:C187">
    <cfRule type="expression" dxfId="192" priority="349">
      <formula>#REF!&gt;0</formula>
    </cfRule>
  </conditionalFormatting>
  <conditionalFormatting sqref="A215:A219">
    <cfRule type="expression" dxfId="191" priority="346">
      <formula>#REF!="FL"</formula>
    </cfRule>
  </conditionalFormatting>
  <conditionalFormatting sqref="C215:C219">
    <cfRule type="expression" dxfId="190" priority="345">
      <formula>#REF!="FL"</formula>
    </cfRule>
  </conditionalFormatting>
  <conditionalFormatting sqref="F218:F219">
    <cfRule type="expression" dxfId="189" priority="342">
      <formula>#REF!="FL"</formula>
    </cfRule>
  </conditionalFormatting>
  <conditionalFormatting sqref="F174:F175">
    <cfRule type="expression" dxfId="188" priority="341">
      <formula>#REF!&gt;0</formula>
    </cfRule>
  </conditionalFormatting>
  <conditionalFormatting sqref="A188:A191 C188:C191">
    <cfRule type="expression" dxfId="187" priority="339">
      <formula>#REF!="MA"</formula>
    </cfRule>
  </conditionalFormatting>
  <conditionalFormatting sqref="A128:C128">
    <cfRule type="expression" dxfId="186" priority="335">
      <formula>#REF!&gt;=1</formula>
    </cfRule>
  </conditionalFormatting>
  <conditionalFormatting sqref="A128:C128">
    <cfRule type="expression" dxfId="185" priority="329">
      <formula>#REF!&gt;0</formula>
    </cfRule>
  </conditionalFormatting>
  <conditionalFormatting sqref="A133:C133">
    <cfRule type="expression" dxfId="184" priority="327">
      <formula>#REF!&gt;=2</formula>
    </cfRule>
  </conditionalFormatting>
  <conditionalFormatting sqref="A133:C133">
    <cfRule type="expression" dxfId="183" priority="321">
      <formula>#REF!&gt;0</formula>
    </cfRule>
  </conditionalFormatting>
  <conditionalFormatting sqref="A138:C138">
    <cfRule type="expression" dxfId="182" priority="319">
      <formula>#REF!&gt;=3</formula>
    </cfRule>
  </conditionalFormatting>
  <conditionalFormatting sqref="A138:C138">
    <cfRule type="expression" dxfId="181" priority="313">
      <formula>#REF!&gt;0</formula>
    </cfRule>
  </conditionalFormatting>
  <conditionalFormatting sqref="A143:C143">
    <cfRule type="expression" dxfId="180" priority="311">
      <formula>#REF!&gt;=4</formula>
    </cfRule>
  </conditionalFormatting>
  <conditionalFormatting sqref="A143:C143">
    <cfRule type="expression" dxfId="179" priority="305">
      <formula>#REF!&gt;0</formula>
    </cfRule>
  </conditionalFormatting>
  <conditionalFormatting sqref="F128">
    <cfRule type="expression" dxfId="178" priority="303">
      <formula>#REF!&gt;=1</formula>
    </cfRule>
  </conditionalFormatting>
  <conditionalFormatting sqref="F133">
    <cfRule type="expression" dxfId="177" priority="302">
      <formula>#REF!&gt;=2</formula>
    </cfRule>
  </conditionalFormatting>
  <conditionalFormatting sqref="F138">
    <cfRule type="expression" dxfId="176" priority="301">
      <formula>#REF!&gt;=3</formula>
    </cfRule>
  </conditionalFormatting>
  <conditionalFormatting sqref="F143">
    <cfRule type="expression" dxfId="175" priority="300">
      <formula>#REF!&gt;=4</formula>
    </cfRule>
  </conditionalFormatting>
  <conditionalFormatting sqref="D39:E39">
    <cfRule type="cellIs" dxfId="174" priority="291" operator="greaterThan">
      <formula>0</formula>
    </cfRule>
  </conditionalFormatting>
  <conditionalFormatting sqref="F39">
    <cfRule type="cellIs" dxfId="173" priority="292" operator="greaterThan">
      <formula>0</formula>
    </cfRule>
  </conditionalFormatting>
  <conditionalFormatting sqref="D27:E28">
    <cfRule type="cellIs" dxfId="172" priority="287" operator="greaterThan">
      <formula>0</formula>
    </cfRule>
  </conditionalFormatting>
  <conditionalFormatting sqref="D30:E30">
    <cfRule type="cellIs" dxfId="171" priority="286" operator="greaterThan">
      <formula>0</formula>
    </cfRule>
  </conditionalFormatting>
  <conditionalFormatting sqref="B2">
    <cfRule type="expression" dxfId="170" priority="265">
      <formula>ISBLANK(B2)</formula>
    </cfRule>
  </conditionalFormatting>
  <conditionalFormatting sqref="B3:B14">
    <cfRule type="expression" dxfId="169" priority="264">
      <formula>ISBLANK(B3)</formula>
    </cfRule>
  </conditionalFormatting>
  <conditionalFormatting sqref="F220">
    <cfRule type="cellIs" dxfId="168" priority="262" operator="greaterThan">
      <formula>0</formula>
    </cfRule>
  </conditionalFormatting>
  <conditionalFormatting sqref="F222">
    <cfRule type="cellIs" dxfId="167" priority="261" operator="greaterThan">
      <formula>0</formula>
    </cfRule>
  </conditionalFormatting>
  <conditionalFormatting sqref="F223:F224">
    <cfRule type="expression" dxfId="166" priority="260">
      <formula>#REF!="FL"</formula>
    </cfRule>
  </conditionalFormatting>
  <conditionalFormatting sqref="F225">
    <cfRule type="cellIs" dxfId="165" priority="259" operator="greaterThan">
      <formula>0</formula>
    </cfRule>
  </conditionalFormatting>
  <conditionalFormatting sqref="F226">
    <cfRule type="cellIs" dxfId="164" priority="258" operator="greaterThan">
      <formula>0</formula>
    </cfRule>
  </conditionalFormatting>
  <conditionalFormatting sqref="F227:F228">
    <cfRule type="expression" dxfId="163" priority="257">
      <formula>#REF!="FL"</formula>
    </cfRule>
  </conditionalFormatting>
  <conditionalFormatting sqref="F185">
    <cfRule type="cellIs" dxfId="162" priority="252" operator="greaterThan">
      <formula>0</formula>
    </cfRule>
  </conditionalFormatting>
  <conditionalFormatting sqref="F184">
    <cfRule type="cellIs" dxfId="161" priority="253" operator="greaterThan">
      <formula>0</formula>
    </cfRule>
  </conditionalFormatting>
  <conditionalFormatting sqref="F186:F187">
    <cfRule type="expression" dxfId="160" priority="251">
      <formula>#REF!="FL"</formula>
    </cfRule>
  </conditionalFormatting>
  <conditionalFormatting sqref="F188">
    <cfRule type="cellIs" dxfId="159" priority="250" operator="greaterThan">
      <formula>0</formula>
    </cfRule>
  </conditionalFormatting>
  <conditionalFormatting sqref="F189">
    <cfRule type="cellIs" dxfId="158" priority="249" operator="greaterThan">
      <formula>0</formula>
    </cfRule>
  </conditionalFormatting>
  <conditionalFormatting sqref="F190:F191">
    <cfRule type="expression" dxfId="157" priority="248">
      <formula>#REF!="FL"</formula>
    </cfRule>
  </conditionalFormatting>
  <conditionalFormatting sqref="F211">
    <cfRule type="cellIs" dxfId="156" priority="247" operator="greaterThan">
      <formula>0</formula>
    </cfRule>
  </conditionalFormatting>
  <conditionalFormatting sqref="F212">
    <cfRule type="cellIs" dxfId="155" priority="246" operator="greaterThan">
      <formula>0</formula>
    </cfRule>
  </conditionalFormatting>
  <conditionalFormatting sqref="F213:F214">
    <cfRule type="expression" dxfId="154" priority="245">
      <formula>#REF!="FL"</formula>
    </cfRule>
  </conditionalFormatting>
  <conditionalFormatting sqref="F199:F200">
    <cfRule type="expression" dxfId="153" priority="242">
      <formula>#REF!="FL"</formula>
    </cfRule>
  </conditionalFormatting>
  <conditionalFormatting sqref="A57:A58 A60">
    <cfRule type="expression" dxfId="152" priority="225">
      <formula>#REF!&gt;=6</formula>
    </cfRule>
  </conditionalFormatting>
  <conditionalFormatting sqref="C57:C60">
    <cfRule type="expression" dxfId="151" priority="223">
      <formula>#REF!&gt;=6</formula>
    </cfRule>
  </conditionalFormatting>
  <conditionalFormatting sqref="A104:A110 F110">
    <cfRule type="expression" dxfId="150" priority="211">
      <formula>#REF!&gt;=7</formula>
    </cfRule>
  </conditionalFormatting>
  <conditionalFormatting sqref="C104:C110">
    <cfRule type="expression" dxfId="149" priority="210">
      <formula>#REF!&gt;=7</formula>
    </cfRule>
  </conditionalFormatting>
  <conditionalFormatting sqref="F105:F106 F108">
    <cfRule type="expression" dxfId="148" priority="207">
      <formula>#REF!&gt;=7</formula>
    </cfRule>
  </conditionalFormatting>
  <conditionalFormatting sqref="F109">
    <cfRule type="expression" dxfId="147" priority="206">
      <formula>#REF!&gt;=7</formula>
    </cfRule>
  </conditionalFormatting>
  <conditionalFormatting sqref="B104:B110">
    <cfRule type="cellIs" dxfId="146" priority="204" operator="greaterThan">
      <formula>0</formula>
    </cfRule>
  </conditionalFormatting>
  <conditionalFormatting sqref="B104:B110">
    <cfRule type="expression" dxfId="145" priority="205">
      <formula>#REF!&gt;=7</formula>
    </cfRule>
  </conditionalFormatting>
  <conditionalFormatting sqref="F109">
    <cfRule type="cellIs" dxfId="144" priority="203" operator="greaterThan">
      <formula>0</formula>
    </cfRule>
  </conditionalFormatting>
  <conditionalFormatting sqref="J104:J110">
    <cfRule type="duplicateValues" dxfId="143" priority="201"/>
  </conditionalFormatting>
  <conditionalFormatting sqref="A109:C109 F109:I109">
    <cfRule type="expression" dxfId="142" priority="200">
      <formula>#REF!&gt;0</formula>
    </cfRule>
  </conditionalFormatting>
  <conditionalFormatting sqref="A111:A117 F117">
    <cfRule type="expression" dxfId="141" priority="198">
      <formula>#REF!&gt;=7</formula>
    </cfRule>
  </conditionalFormatting>
  <conditionalFormatting sqref="C111:C117">
    <cfRule type="expression" dxfId="140" priority="197">
      <formula>#REF!&gt;=7</formula>
    </cfRule>
  </conditionalFormatting>
  <conditionalFormatting sqref="F112:F113 F115">
    <cfRule type="expression" dxfId="139" priority="194">
      <formula>#REF!&gt;=7</formula>
    </cfRule>
  </conditionalFormatting>
  <conditionalFormatting sqref="F116">
    <cfRule type="expression" dxfId="138" priority="193">
      <formula>#REF!&gt;=7</formula>
    </cfRule>
  </conditionalFormatting>
  <conditionalFormatting sqref="B111:B117">
    <cfRule type="cellIs" dxfId="137" priority="191" operator="greaterThan">
      <formula>0</formula>
    </cfRule>
  </conditionalFormatting>
  <conditionalFormatting sqref="B111:B117">
    <cfRule type="expression" dxfId="136" priority="192">
      <formula>#REF!&gt;=7</formula>
    </cfRule>
  </conditionalFormatting>
  <conditionalFormatting sqref="F116">
    <cfRule type="cellIs" dxfId="135" priority="190" operator="greaterThan">
      <formula>0</formula>
    </cfRule>
  </conditionalFormatting>
  <conditionalFormatting sqref="J111:J117">
    <cfRule type="duplicateValues" dxfId="134" priority="188"/>
  </conditionalFormatting>
  <conditionalFormatting sqref="A116:C116 F116:I116">
    <cfRule type="expression" dxfId="133" priority="187">
      <formula>#REF!&gt;0</formula>
    </cfRule>
  </conditionalFormatting>
  <conditionalFormatting sqref="D46:E46">
    <cfRule type="cellIs" dxfId="132" priority="175" operator="greaterThan">
      <formula>0</formula>
    </cfRule>
  </conditionalFormatting>
  <conditionalFormatting sqref="D47:E47">
    <cfRule type="cellIs" dxfId="131" priority="174" operator="greaterThan">
      <formula>0</formula>
    </cfRule>
  </conditionalFormatting>
  <conditionalFormatting sqref="D76:E144">
    <cfRule type="cellIs" dxfId="130" priority="173" operator="greaterThan">
      <formula>0</formula>
    </cfRule>
  </conditionalFormatting>
  <conditionalFormatting sqref="F221">
    <cfRule type="cellIs" dxfId="129" priority="170" operator="greaterThan">
      <formula>0</formula>
    </cfRule>
  </conditionalFormatting>
  <conditionalFormatting sqref="J221">
    <cfRule type="duplicateValues" dxfId="128" priority="171"/>
  </conditionalFormatting>
  <conditionalFormatting sqref="A221">
    <cfRule type="expression" dxfId="127" priority="169">
      <formula>#REF!="FL"</formula>
    </cfRule>
  </conditionalFormatting>
  <conditionalFormatting sqref="C221">
    <cfRule type="expression" dxfId="126" priority="168">
      <formula>#REF!="FL"</formula>
    </cfRule>
  </conditionalFormatting>
  <conditionalFormatting sqref="D221:E221">
    <cfRule type="cellIs" dxfId="125" priority="167" operator="greaterThan">
      <formula>0</formula>
    </cfRule>
  </conditionalFormatting>
  <conditionalFormatting sqref="F18">
    <cfRule type="cellIs" dxfId="124" priority="134" operator="greaterThan">
      <formula>0</formula>
    </cfRule>
  </conditionalFormatting>
  <conditionalFormatting sqref="J56">
    <cfRule type="duplicateValues" dxfId="123" priority="132"/>
  </conditionalFormatting>
  <conditionalFormatting sqref="C58:C60">
    <cfRule type="cellIs" dxfId="122" priority="119" operator="greaterThan">
      <formula>0</formula>
    </cfRule>
  </conditionalFormatting>
  <conditionalFormatting sqref="J58 J60">
    <cfRule type="duplicateValues" dxfId="121" priority="890"/>
  </conditionalFormatting>
  <conditionalFormatting sqref="B19:B26">
    <cfRule type="cellIs" dxfId="120" priority="118" operator="greaterThan">
      <formula>0</formula>
    </cfRule>
  </conditionalFormatting>
  <conditionalFormatting sqref="B19:B26">
    <cfRule type="expression" dxfId="119" priority="117">
      <formula>#REF!&gt;0</formula>
    </cfRule>
  </conditionalFormatting>
  <conditionalFormatting sqref="B33:B35">
    <cfRule type="cellIs" dxfId="118" priority="116" operator="greaterThan">
      <formula>0</formula>
    </cfRule>
  </conditionalFormatting>
  <conditionalFormatting sqref="B33:B35">
    <cfRule type="expression" dxfId="117" priority="115">
      <formula>#REF!&gt;0</formula>
    </cfRule>
  </conditionalFormatting>
  <conditionalFormatting sqref="B57:B60">
    <cfRule type="cellIs" dxfId="116" priority="114" operator="greaterThan">
      <formula>0</formula>
    </cfRule>
  </conditionalFormatting>
  <conditionalFormatting sqref="B57:B60">
    <cfRule type="expression" dxfId="115" priority="113">
      <formula>#REF!&gt;0</formula>
    </cfRule>
  </conditionalFormatting>
  <conditionalFormatting sqref="B43:B44">
    <cfRule type="cellIs" dxfId="114" priority="112" operator="greaterThan">
      <formula>0</formula>
    </cfRule>
  </conditionalFormatting>
  <conditionalFormatting sqref="B43:B44">
    <cfRule type="expression" dxfId="113" priority="111">
      <formula>#REF!&gt;0</formula>
    </cfRule>
  </conditionalFormatting>
  <conditionalFormatting sqref="C43:C44">
    <cfRule type="expression" dxfId="112" priority="110">
      <formula>#REF!&gt;0</formula>
    </cfRule>
  </conditionalFormatting>
  <conditionalFormatting sqref="F43:F44">
    <cfRule type="expression" dxfId="111" priority="109">
      <formula>#REF!&gt;0</formula>
    </cfRule>
  </conditionalFormatting>
  <conditionalFormatting sqref="C46:C47">
    <cfRule type="cellIs" dxfId="110" priority="107" operator="greaterThan">
      <formula>0</formula>
    </cfRule>
  </conditionalFormatting>
  <conditionalFormatting sqref="C46:C47">
    <cfRule type="expression" dxfId="109" priority="108">
      <formula>#REF!&gt;1</formula>
    </cfRule>
  </conditionalFormatting>
  <conditionalFormatting sqref="C46:C47">
    <cfRule type="expression" dxfId="108" priority="106">
      <formula>#REF!&gt;0</formula>
    </cfRule>
  </conditionalFormatting>
  <conditionalFormatting sqref="F69">
    <cfRule type="expression" dxfId="107" priority="105">
      <formula>#REF!&gt;=1</formula>
    </cfRule>
  </conditionalFormatting>
  <conditionalFormatting sqref="F76">
    <cfRule type="expression" dxfId="106" priority="104">
      <formula>#REF!&gt;=1</formula>
    </cfRule>
  </conditionalFormatting>
  <conditionalFormatting sqref="F83">
    <cfRule type="expression" dxfId="105" priority="103">
      <formula>#REF!&gt;=1</formula>
    </cfRule>
  </conditionalFormatting>
  <conditionalFormatting sqref="F90">
    <cfRule type="expression" dxfId="104" priority="102">
      <formula>#REF!&gt;=1</formula>
    </cfRule>
  </conditionalFormatting>
  <conditionalFormatting sqref="F97">
    <cfRule type="expression" dxfId="103" priority="101">
      <formula>#REF!&gt;=1</formula>
    </cfRule>
  </conditionalFormatting>
  <conditionalFormatting sqref="F104">
    <cfRule type="expression" dxfId="102" priority="100">
      <formula>#REF!&gt;=1</formula>
    </cfRule>
  </conditionalFormatting>
  <conditionalFormatting sqref="F104">
    <cfRule type="cellIs" dxfId="101" priority="99" operator="greaterThan">
      <formula>0</formula>
    </cfRule>
  </conditionalFormatting>
  <conditionalFormatting sqref="F111">
    <cfRule type="expression" dxfId="100" priority="98">
      <formula>#REF!&gt;=1</formula>
    </cfRule>
  </conditionalFormatting>
  <conditionalFormatting sqref="F111">
    <cfRule type="cellIs" dxfId="99" priority="97" operator="greaterThan">
      <formula>0</formula>
    </cfRule>
  </conditionalFormatting>
  <conditionalFormatting sqref="F118">
    <cfRule type="expression" dxfId="98" priority="96">
      <formula>#REF!&gt;=1</formula>
    </cfRule>
  </conditionalFormatting>
  <conditionalFormatting sqref="F125">
    <cfRule type="expression" dxfId="97" priority="95">
      <formula>#REF!&gt;=1</formula>
    </cfRule>
  </conditionalFormatting>
  <conditionalFormatting sqref="F125">
    <cfRule type="cellIs" dxfId="96" priority="94" operator="greaterThan">
      <formula>0</formula>
    </cfRule>
  </conditionalFormatting>
  <conditionalFormatting sqref="F130">
    <cfRule type="expression" dxfId="95" priority="93">
      <formula>#REF!&gt;=1</formula>
    </cfRule>
  </conditionalFormatting>
  <conditionalFormatting sqref="F130">
    <cfRule type="cellIs" dxfId="94" priority="92" operator="greaterThan">
      <formula>0</formula>
    </cfRule>
  </conditionalFormatting>
  <conditionalFormatting sqref="F43">
    <cfRule type="expression" dxfId="93" priority="91">
      <formula>#REF!&gt;0</formula>
    </cfRule>
  </conditionalFormatting>
  <conditionalFormatting sqref="F46">
    <cfRule type="cellIs" dxfId="92" priority="89" operator="greaterThan">
      <formula>0</formula>
    </cfRule>
  </conditionalFormatting>
  <conditionalFormatting sqref="F46">
    <cfRule type="expression" dxfId="91" priority="90">
      <formula>#REF!&gt;1</formula>
    </cfRule>
  </conditionalFormatting>
  <conditionalFormatting sqref="F46">
    <cfRule type="expression" dxfId="90" priority="88">
      <formula>#REF!&gt;0</formula>
    </cfRule>
  </conditionalFormatting>
  <conditionalFormatting sqref="F46">
    <cfRule type="expression" dxfId="89" priority="87">
      <formula>#REF!&gt;0</formula>
    </cfRule>
  </conditionalFormatting>
  <conditionalFormatting sqref="F47">
    <cfRule type="cellIs" dxfId="88" priority="85" operator="greaterThan">
      <formula>0</formula>
    </cfRule>
  </conditionalFormatting>
  <conditionalFormatting sqref="F47">
    <cfRule type="expression" dxfId="87" priority="86">
      <formula>#REF!&gt;1</formula>
    </cfRule>
  </conditionalFormatting>
  <conditionalFormatting sqref="F47">
    <cfRule type="expression" dxfId="86" priority="84">
      <formula>#REF!&gt;0</formula>
    </cfRule>
  </conditionalFormatting>
  <conditionalFormatting sqref="F202">
    <cfRule type="cellIs" dxfId="85" priority="82" operator="greaterThan">
      <formula>0</formula>
    </cfRule>
  </conditionalFormatting>
  <conditionalFormatting sqref="F203">
    <cfRule type="cellIs" dxfId="84" priority="81" operator="greaterThan">
      <formula>0</formula>
    </cfRule>
  </conditionalFormatting>
  <conditionalFormatting sqref="F204:F205">
    <cfRule type="expression" dxfId="83" priority="80">
      <formula>#REF!="FL"</formula>
    </cfRule>
  </conditionalFormatting>
  <conditionalFormatting sqref="F208">
    <cfRule type="expression" dxfId="82" priority="75">
      <formula>#REF!="FL"</formula>
    </cfRule>
  </conditionalFormatting>
  <conditionalFormatting sqref="C206:C208">
    <cfRule type="expression" dxfId="81" priority="72">
      <formula>#REF!&gt;0</formula>
    </cfRule>
  </conditionalFormatting>
  <conditionalFormatting sqref="C209">
    <cfRule type="expression" dxfId="80" priority="70">
      <formula>#REF!&gt;0</formula>
    </cfRule>
  </conditionalFormatting>
  <conditionalFormatting sqref="J202:J208 J30 J32:J39 J41:J44 J46:J47 J49:J52 J62:J103 J146:J169 J118:J144 J18:J28 J57 J171:J191 J222:J228 J211:J220 J196:J200">
    <cfRule type="duplicateValues" dxfId="79" priority="914"/>
  </conditionalFormatting>
  <conditionalFormatting sqref="D202:E209">
    <cfRule type="cellIs" dxfId="78" priority="69" operator="greaterThan">
      <formula>0</formula>
    </cfRule>
  </conditionalFormatting>
  <conditionalFormatting sqref="J209">
    <cfRule type="duplicateValues" dxfId="77" priority="68"/>
  </conditionalFormatting>
  <conditionalFormatting sqref="A59">
    <cfRule type="expression" dxfId="76" priority="66">
      <formula>#REF!&gt;=3</formula>
    </cfRule>
  </conditionalFormatting>
  <conditionalFormatting sqref="F121">
    <cfRule type="cellIs" dxfId="75" priority="42" operator="greaterThan">
      <formula>0</formula>
    </cfRule>
  </conditionalFormatting>
  <conditionalFormatting sqref="D59:E59">
    <cfRule type="cellIs" dxfId="74" priority="61" operator="greaterThan">
      <formula>0</formula>
    </cfRule>
  </conditionalFormatting>
  <conditionalFormatting sqref="J59">
    <cfRule type="duplicateValues" dxfId="73" priority="67"/>
  </conditionalFormatting>
  <conditionalFormatting sqref="F59">
    <cfRule type="cellIs" dxfId="72" priority="60" operator="greaterThan">
      <formula>0</formula>
    </cfRule>
  </conditionalFormatting>
  <conditionalFormatting sqref="F59">
    <cfRule type="expression" dxfId="71" priority="59">
      <formula>#REF!&gt;0</formula>
    </cfRule>
  </conditionalFormatting>
  <conditionalFormatting sqref="F65">
    <cfRule type="cellIs" dxfId="70" priority="58" operator="greaterThan">
      <formula>0</formula>
    </cfRule>
  </conditionalFormatting>
  <conditionalFormatting sqref="F65">
    <cfRule type="expression" dxfId="69" priority="57">
      <formula>#REF!&gt;0</formula>
    </cfRule>
  </conditionalFormatting>
  <conditionalFormatting sqref="F72">
    <cfRule type="cellIs" dxfId="68" priority="56" operator="greaterThan">
      <formula>0</formula>
    </cfRule>
  </conditionalFormatting>
  <conditionalFormatting sqref="F72">
    <cfRule type="expression" dxfId="67" priority="55">
      <formula>#REF!&gt;0</formula>
    </cfRule>
  </conditionalFormatting>
  <conditionalFormatting sqref="F79">
    <cfRule type="cellIs" dxfId="66" priority="54" operator="greaterThan">
      <formula>0</formula>
    </cfRule>
  </conditionalFormatting>
  <conditionalFormatting sqref="F79">
    <cfRule type="expression" dxfId="65" priority="53">
      <formula>#REF!&gt;0</formula>
    </cfRule>
  </conditionalFormatting>
  <conditionalFormatting sqref="F86">
    <cfRule type="cellIs" dxfId="64" priority="52" operator="greaterThan">
      <formula>0</formula>
    </cfRule>
  </conditionalFormatting>
  <conditionalFormatting sqref="F86">
    <cfRule type="expression" dxfId="63" priority="51">
      <formula>#REF!&gt;0</formula>
    </cfRule>
  </conditionalFormatting>
  <conditionalFormatting sqref="F93">
    <cfRule type="cellIs" dxfId="62" priority="50" operator="greaterThan">
      <formula>0</formula>
    </cfRule>
  </conditionalFormatting>
  <conditionalFormatting sqref="F93">
    <cfRule type="expression" dxfId="61" priority="49">
      <formula>#REF!&gt;0</formula>
    </cfRule>
  </conditionalFormatting>
  <conditionalFormatting sqref="F100">
    <cfRule type="cellIs" dxfId="60" priority="48" operator="greaterThan">
      <formula>0</formula>
    </cfRule>
  </conditionalFormatting>
  <conditionalFormatting sqref="F100">
    <cfRule type="expression" dxfId="59" priority="47">
      <formula>#REF!&gt;0</formula>
    </cfRule>
  </conditionalFormatting>
  <conditionalFormatting sqref="F107">
    <cfRule type="cellIs" dxfId="58" priority="46" operator="greaterThan">
      <formula>0</formula>
    </cfRule>
  </conditionalFormatting>
  <conditionalFormatting sqref="F107">
    <cfRule type="expression" dxfId="57" priority="45">
      <formula>#REF!&gt;0</formula>
    </cfRule>
  </conditionalFormatting>
  <conditionalFormatting sqref="F114">
    <cfRule type="cellIs" dxfId="56" priority="44" operator="greaterThan">
      <formula>0</formula>
    </cfRule>
  </conditionalFormatting>
  <conditionalFormatting sqref="F114">
    <cfRule type="expression" dxfId="55" priority="43">
      <formula>#REF!&gt;0</formula>
    </cfRule>
  </conditionalFormatting>
  <conditionalFormatting sqref="F121">
    <cfRule type="expression" dxfId="54" priority="41">
      <formula>#REF!&gt;0</formula>
    </cfRule>
  </conditionalFormatting>
  <conditionalFormatting sqref="J201">
    <cfRule type="duplicateValues" dxfId="53" priority="40"/>
  </conditionalFormatting>
  <conditionalFormatting sqref="D53:E53">
    <cfRule type="cellIs" dxfId="52" priority="37" operator="greaterThan">
      <formula>0</formula>
    </cfRule>
  </conditionalFormatting>
  <conditionalFormatting sqref="B53:C53">
    <cfRule type="cellIs" dxfId="51" priority="39" operator="greaterThan">
      <formula>0</formula>
    </cfRule>
  </conditionalFormatting>
  <conditionalFormatting sqref="A53:E53">
    <cfRule type="expression" dxfId="50" priority="38">
      <formula>#REF!&gt;0</formula>
    </cfRule>
  </conditionalFormatting>
  <conditionalFormatting sqref="J53">
    <cfRule type="duplicateValues" dxfId="49" priority="36"/>
  </conditionalFormatting>
  <conditionalFormatting sqref="C54:E54">
    <cfRule type="cellIs" dxfId="48" priority="32" operator="greaterThan">
      <formula>0</formula>
    </cfRule>
  </conditionalFormatting>
  <conditionalFormatting sqref="C54">
    <cfRule type="cellIs" dxfId="47" priority="34" operator="greaterThan">
      <formula>0</formula>
    </cfRule>
  </conditionalFormatting>
  <conditionalFormatting sqref="C54:E54">
    <cfRule type="expression" dxfId="46" priority="33">
      <formula>#REF!&gt;0</formula>
    </cfRule>
  </conditionalFormatting>
  <conditionalFormatting sqref="C54">
    <cfRule type="expression" dxfId="45" priority="30">
      <formula>#REF!&gt;=6</formula>
    </cfRule>
  </conditionalFormatting>
  <conditionalFormatting sqref="B54">
    <cfRule type="cellIs" dxfId="44" priority="29" operator="greaterThan">
      <formula>0</formula>
    </cfRule>
  </conditionalFormatting>
  <conditionalFormatting sqref="B54">
    <cfRule type="expression" dxfId="43" priority="28">
      <formula>#REF!&gt;0</formula>
    </cfRule>
  </conditionalFormatting>
  <conditionalFormatting sqref="J54">
    <cfRule type="duplicateValues" dxfId="42" priority="35"/>
  </conditionalFormatting>
  <conditionalFormatting sqref="J55">
    <cfRule type="duplicateValues" dxfId="41" priority="26"/>
  </conditionalFormatting>
  <conditionalFormatting sqref="A54">
    <cfRule type="expression" dxfId="40" priority="25">
      <formula>#REF!&gt;0</formula>
    </cfRule>
  </conditionalFormatting>
  <conditionalFormatting sqref="J210">
    <cfRule type="duplicateValues" dxfId="39" priority="24"/>
  </conditionalFormatting>
  <conditionalFormatting sqref="D192:E195">
    <cfRule type="cellIs" dxfId="38" priority="22" operator="greaterThan">
      <formula>0</formula>
    </cfRule>
  </conditionalFormatting>
  <conditionalFormatting sqref="A192:A195 C192:C195">
    <cfRule type="expression" dxfId="37" priority="21">
      <formula>#REF!="MA"</formula>
    </cfRule>
  </conditionalFormatting>
  <conditionalFormatting sqref="F192">
    <cfRule type="cellIs" dxfId="36" priority="20" operator="greaterThan">
      <formula>0</formula>
    </cfRule>
  </conditionalFormatting>
  <conditionalFormatting sqref="F193">
    <cfRule type="cellIs" dxfId="35" priority="19" operator="greaterThan">
      <formula>0</formula>
    </cfRule>
  </conditionalFormatting>
  <conditionalFormatting sqref="F194:F195">
    <cfRule type="expression" dxfId="34" priority="18">
      <formula>#REF!="FL"</formula>
    </cfRule>
  </conditionalFormatting>
  <conditionalFormatting sqref="J192:J195">
    <cfRule type="duplicateValues" dxfId="33" priority="23"/>
  </conditionalFormatting>
  <conditionalFormatting sqref="C20:C28">
    <cfRule type="cellIs" dxfId="32" priority="17" operator="greaterThan">
      <formula>0</formula>
    </cfRule>
  </conditionalFormatting>
  <conditionalFormatting sqref="C30">
    <cfRule type="cellIs" dxfId="31" priority="16" operator="greaterThan">
      <formula>0</formula>
    </cfRule>
  </conditionalFormatting>
  <conditionalFormatting sqref="C33:C39">
    <cfRule type="cellIs" dxfId="30" priority="15" operator="greaterThan">
      <formula>0</formula>
    </cfRule>
  </conditionalFormatting>
  <conditionalFormatting sqref="C49:C51">
    <cfRule type="cellIs" dxfId="29" priority="14" operator="greaterThan">
      <formula>0</formula>
    </cfRule>
  </conditionalFormatting>
  <conditionalFormatting sqref="F152 F156 F160">
    <cfRule type="expression" dxfId="28" priority="13">
      <formula>#REF!&gt;=1</formula>
    </cfRule>
  </conditionalFormatting>
  <conditionalFormatting sqref="F150:F151 F154:F155 F158:F159">
    <cfRule type="expression" dxfId="27" priority="12">
      <formula>#REF!&gt;=1</formula>
    </cfRule>
  </conditionalFormatting>
  <conditionalFormatting sqref="F153 F157 F161">
    <cfRule type="expression" dxfId="26" priority="11">
      <formula>#REF!&gt;=1</formula>
    </cfRule>
  </conditionalFormatting>
  <conditionalFormatting sqref="F150 F154 F158">
    <cfRule type="cellIs" dxfId="25" priority="10" operator="greaterThan">
      <formula>0</formula>
    </cfRule>
  </conditionalFormatting>
  <conditionalFormatting sqref="F151 F155 F159">
    <cfRule type="cellIs" dxfId="24" priority="9" operator="greaterThan">
      <formula>0</formula>
    </cfRule>
  </conditionalFormatting>
  <conditionalFormatting sqref="F153 F157 F161">
    <cfRule type="cellIs" dxfId="23" priority="8" operator="greaterThan">
      <formula>0</formula>
    </cfRule>
  </conditionalFormatting>
  <conditionalFormatting sqref="F153 F157 F161">
    <cfRule type="expression" dxfId="22" priority="7">
      <formula>#REF!&gt;0</formula>
    </cfRule>
  </conditionalFormatting>
  <conditionalFormatting sqref="F176:F177">
    <cfRule type="cellIs" dxfId="21" priority="5" operator="greaterThan">
      <formula>0</formula>
    </cfRule>
  </conditionalFormatting>
  <conditionalFormatting sqref="F178">
    <cfRule type="cellIs" dxfId="20" priority="4" operator="greaterThan">
      <formula>0</formula>
    </cfRule>
  </conditionalFormatting>
  <conditionalFormatting sqref="F176:F178">
    <cfRule type="expression" dxfId="19" priority="6">
      <formula>$D$171&gt;0</formula>
    </cfRule>
  </conditionalFormatting>
  <conditionalFormatting sqref="F196:F197">
    <cfRule type="cellIs" dxfId="18" priority="2" operator="greaterThan">
      <formula>0</formula>
    </cfRule>
  </conditionalFormatting>
  <conditionalFormatting sqref="F198">
    <cfRule type="cellIs" dxfId="17" priority="1" operator="greaterThan">
      <formula>0</formula>
    </cfRule>
  </conditionalFormatting>
  <conditionalFormatting sqref="F196:F198">
    <cfRule type="expression" dxfId="16" priority="3">
      <formula>$D$171&gt;0</formula>
    </cfRule>
  </conditionalFormatting>
  <dataValidations count="7">
    <dataValidation allowBlank="1" showErrorMessage="1" error="Use drop down box to specify correct model." prompt="Choose specific model." sqref="F33:F35" xr:uid="{00000000-0002-0000-0000-000000000000}"/>
    <dataValidation type="list" allowBlank="1" showInputMessage="1" showErrorMessage="1" sqref="A36:A37 A41:A44" xr:uid="{00000000-0002-0000-0000-000001000000}">
      <formula1>"LMS, TC1, TC2, ."</formula1>
    </dataValidation>
    <dataValidation type="custom" allowBlank="1" showInputMessage="1" showErrorMessage="1" errorTitle="Must Start With &quot;F&quot;" error="Entry Must Begin With the Letter F.  Be sure you are scanning the correct barcode.  &quot;456739&quot; is not a valid S/N." sqref="E18" xr:uid="{00000000-0002-0000-0000-000002000000}">
      <formula1>EXACT(LEFT(E18,1),"F")</formula1>
    </dataValidation>
    <dataValidation type="list" allowBlank="1" showInputMessage="1" showErrorMessage="1" sqref="A202:A205 A233:A1048576 A56 A58 A60 A53 A211:A228" xr:uid="{00000000-0002-0000-0000-000003000000}">
      <formula1>$D$15:$D$42</formula1>
    </dataValidation>
    <dataValidation type="list" allowBlank="1" showInputMessage="1" showErrorMessage="1" sqref="A206:A209" xr:uid="{00000000-0002-0000-0000-000004000000}">
      <formula1>$D$16:$D$44</formula1>
    </dataValidation>
    <dataValidation type="custom" allowBlank="1" showInputMessage="1" showErrorMessage="1" errorTitle="Duplicate Entry" error="Value already entered.  All values must be unique.  Please try again." sqref="D233:D1048576 D15:D17 D19:D228" xr:uid="{00000000-0002-0000-0000-000005000000}">
      <formula1>COUNTIF($D$15:$D$528,D15)=1</formula1>
    </dataValidation>
    <dataValidation type="custom" allowBlank="1" showInputMessage="1" showErrorMessage="1" errorTitle="Duplicate Entry" error="Value already entered.  All values must be unique.  Please try again." sqref="E233:E1048576 E15:E17 E19:E228" xr:uid="{00000000-0002-0000-0000-000006000000}">
      <formula1>COUNTIF($E$15:$E$528,E15)=1</formula1>
    </dataValidation>
  </dataValidations>
  <pageMargins left="0.25" right="0.25" top="0.5" bottom="0.5" header="0.3" footer="0.3"/>
  <pageSetup scale="43" fitToHeight="0" orientation="landscape" horizontalDpi="4294967292" verticalDpi="4294967292" r:id="rId1"/>
  <headerFooter>
    <oddHeader>&amp;A</oddHeader>
    <oddFooter>Page &amp;P of &amp;N</oddFooter>
  </headerFooter>
  <ignoredErrors>
    <ignoredError sqref="A27:A28 A32 A20:A24 A30 A38 A18" numberStoredAsText="1"/>
    <ignoredError sqref="A49:A52" numberStoredAsText="1" listDataValidatio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Check Box 6">
              <controlPr defaultSize="0" autoFill="0" autoLine="0" autoPict="0" macro="[0]!Theatro_Click">
                <anchor moveWithCells="1">
                  <from>
                    <xdr:col>3</xdr:col>
                    <xdr:colOff>12700</xdr:colOff>
                    <xdr:row>2</xdr:row>
                    <xdr:rowOff>12700</xdr:rowOff>
                  </from>
                  <to>
                    <xdr:col>4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Check Box 7">
              <controlPr defaultSize="0" autoFill="0" autoLine="0" autoPict="0" macro="[0]!NonStandard_Click">
                <anchor moveWithCells="1">
                  <from>
                    <xdr:col>3</xdr:col>
                    <xdr:colOff>12700</xdr:colOff>
                    <xdr:row>3</xdr:row>
                    <xdr:rowOff>12700</xdr:rowOff>
                  </from>
                  <to>
                    <xdr:col>4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Check Box 8">
              <controlPr defaultSize="0" autoFill="0" autoLine="0" autoPict="0" macro="[0]!FSD_Click">
                <anchor moveWithCells="1">
                  <from>
                    <xdr:col>4</xdr:col>
                    <xdr:colOff>12700</xdr:colOff>
                    <xdr:row>1</xdr:row>
                    <xdr:rowOff>12700</xdr:rowOff>
                  </from>
                  <to>
                    <xdr:col>5</xdr:col>
                    <xdr:colOff>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Check Box 9">
              <controlPr defaultSize="0" autoFill="0" autoLine="0" autoPict="0" macro="[0]!FuelKiosk_Click">
                <anchor moveWithCells="1">
                  <from>
                    <xdr:col>4</xdr:col>
                    <xdr:colOff>12700</xdr:colOff>
                    <xdr:row>2</xdr:row>
                    <xdr:rowOff>12700</xdr:rowOff>
                  </from>
                  <to>
                    <xdr:col>5</xdr:col>
                    <xdr:colOff>0</xdr:colOff>
                    <xdr:row>2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Check Box 11">
              <controlPr defaultSize="0" autoFill="0" autoLine="0" autoPict="0" macro="[0]!VirtualDelivery_Click" altText="VIRTUAL DELIVERY">
                <anchor moveWithCells="1">
                  <from>
                    <xdr:col>3</xdr:col>
                    <xdr:colOff>12700</xdr:colOff>
                    <xdr:row>1</xdr:row>
                    <xdr:rowOff>0</xdr:rowOff>
                  </from>
                  <to>
                    <xdr:col>4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40">
        <x14:dataValidation type="list" allowBlank="1" showInputMessage="1" showErrorMessage="1" xr:uid="{00000000-0002-0000-0000-000007000000}">
          <x14:formula1>
            <xm:f>'Model-Vendor'!$A$110:$A$113</xm:f>
          </x14:formula1>
          <xm:sqref>F62 F104 F69 F76 F83 F90 F111 F118 F125 F135 F140 F97 F130</xm:sqref>
        </x14:dataValidation>
        <x14:dataValidation type="list" allowBlank="1" showInputMessage="1" showErrorMessage="1" xr:uid="{00000000-0002-0000-0000-000008000000}">
          <x14:formula1>
            <xm:f>'Location Legend'!#REF!</xm:f>
          </x14:formula1>
          <xm:sqref>A60 A49:A58</xm:sqref>
        </x14:dataValidation>
        <x14:dataValidation type="list" allowBlank="1" showInputMessage="1" showErrorMessage="1" xr:uid="{00000000-0002-0000-0000-000009000000}">
          <x14:formula1>
            <xm:f>'Location Legend'!$M$2:$M$11</xm:f>
          </x14:formula1>
          <xm:sqref>C32:C39 C41:C44 C46:C47 C30 C18:C28 C49:C60</xm:sqref>
        </x14:dataValidation>
        <x14:dataValidation type="list" allowBlank="1" showInputMessage="1" showErrorMessage="1" xr:uid="{00000000-0002-0000-0000-00000A000000}">
          <x14:formula1>
            <xm:f>'Location Legend'!$A$11:$A$15</xm:f>
          </x14:formula1>
          <xm:sqref>B38:B39</xm:sqref>
        </x14:dataValidation>
        <x14:dataValidation type="list" allowBlank="1" showInputMessage="1" showErrorMessage="1" xr:uid="{00000000-0002-0000-0000-00000B000000}">
          <x14:formula1>
            <xm:f>'Location Legend'!$D$3:$D$7</xm:f>
          </x14:formula1>
          <xm:sqref>B41:B42</xm:sqref>
        </x14:dataValidation>
        <x14:dataValidation type="list" allowBlank="1" showInputMessage="1" showErrorMessage="1" xr:uid="{00000000-0002-0000-0000-00000C000000}">
          <x14:formula1>
            <xm:f>'Location Legend'!$D$11:$D$15</xm:f>
          </x14:formula1>
          <xm:sqref>B46:B47</xm:sqref>
        </x14:dataValidation>
        <x14:dataValidation type="list" allowBlank="1" showInputMessage="1" showErrorMessage="1" xr:uid="{00000000-0002-0000-0000-00000D000000}">
          <x14:formula1>
            <xm:f>'Location Legend'!$G$3:$G$7</xm:f>
          </x14:formula1>
          <xm:sqref>B30 B33:B36 B19:B26 B49:B53 B55:B56</xm:sqref>
        </x14:dataValidation>
        <x14:dataValidation type="list" allowBlank="1" showInputMessage="1" showErrorMessage="1" xr:uid="{00000000-0002-0000-0000-00000E000000}">
          <x14:formula1>
            <xm:f>'Location Legend'!$G$11:$G$15</xm:f>
          </x14:formula1>
          <xm:sqref>B62 B69 B76 B83 B90 B97 B118 B104 B111</xm:sqref>
        </x14:dataValidation>
        <x14:dataValidation type="list" allowBlank="1" showInputMessage="1" showErrorMessage="1" xr:uid="{00000000-0002-0000-0000-00000F000000}">
          <x14:formula1>
            <xm:f>'Location Legend'!$J$11:$J$15</xm:f>
          </x14:formula1>
          <xm:sqref>B171 B215 B211 B188 B184 B220 B181 B225 B196 B176 B192</xm:sqref>
        </x14:dataValidation>
        <x14:dataValidation type="list" allowBlank="1" showInputMessage="1" showErrorMessage="1" xr:uid="{00000000-0002-0000-0000-000010000000}">
          <x14:formula1>
            <xm:f>'Model-Vendor'!$A$8:$A$11</xm:f>
          </x14:formula1>
          <xm:sqref>F20:F21</xm:sqref>
        </x14:dataValidation>
        <x14:dataValidation type="list" allowBlank="1" showInputMessage="1" showErrorMessage="1" xr:uid="{00000000-0002-0000-0000-000011000000}">
          <x14:formula1>
            <xm:f>'Model-Vendor'!$A$12:$A$15</xm:f>
          </x14:formula1>
          <xm:sqref>F22</xm:sqref>
        </x14:dataValidation>
        <x14:dataValidation type="list" allowBlank="1" showInputMessage="1" showErrorMessage="1" xr:uid="{00000000-0002-0000-0000-000012000000}">
          <x14:formula1>
            <xm:f>'Model-Vendor'!$A$22:$A$25</xm:f>
          </x14:formula1>
          <xm:sqref>F25</xm:sqref>
        </x14:dataValidation>
        <x14:dataValidation type="list" allowBlank="1" showInputMessage="1" showErrorMessage="1" xr:uid="{00000000-0002-0000-0000-000013000000}">
          <x14:formula1>
            <xm:f>'Model-Vendor'!$A$27:$A$31</xm:f>
          </x14:formula1>
          <xm:sqref>F27</xm:sqref>
        </x14:dataValidation>
        <x14:dataValidation type="list" allowBlank="1" showInputMessage="1" showErrorMessage="1" xr:uid="{00000000-0002-0000-0000-000014000000}">
          <x14:formula1>
            <xm:f>'Model-Vendor'!$A$32:$A$39</xm:f>
          </x14:formula1>
          <xm:sqref>F28</xm:sqref>
        </x14:dataValidation>
        <x14:dataValidation type="list" allowBlank="1" showInputMessage="1" showErrorMessage="1" xr:uid="{00000000-0002-0000-0000-000015000000}">
          <x14:formula1>
            <xm:f>'Model-Vendor'!$A$50:$A$54</xm:f>
          </x14:formula1>
          <xm:sqref>F32</xm:sqref>
        </x14:dataValidation>
        <x14:dataValidation type="list" allowBlank="1" showInputMessage="1" showErrorMessage="1" xr:uid="{00000000-0002-0000-0000-000016000000}">
          <x14:formula1>
            <xm:f>'Model-Vendor'!$A$64:$A$66</xm:f>
          </x14:formula1>
          <xm:sqref>F37</xm:sqref>
        </x14:dataValidation>
        <x14:dataValidation type="list" allowBlank="1" showInputMessage="1" showErrorMessage="1" xr:uid="{00000000-0002-0000-0000-000017000000}">
          <x14:formula1>
            <xm:f>'Model-Vendor'!$A$67:$A$71</xm:f>
          </x14:formula1>
          <xm:sqref>F38:F39</xm:sqref>
        </x14:dataValidation>
        <x14:dataValidation type="list" allowBlank="1" showInputMessage="1" showErrorMessage="1" xr:uid="{00000000-0002-0000-0000-000018000000}">
          <x14:formula1>
            <xm:f>'Model-Vendor'!$A$139:$A$144</xm:f>
          </x14:formula1>
          <xm:sqref>F146 F150 F154 F158 F162 F166</xm:sqref>
        </x14:dataValidation>
        <x14:dataValidation type="list" allowBlank="1" showInputMessage="1" showErrorMessage="1" xr:uid="{00000000-0002-0000-0000-000019000000}">
          <x14:formula1>
            <xm:f>'Model-Vendor'!$A$145:$A$148</xm:f>
          </x14:formula1>
          <xm:sqref>F147 F151 F155 F159 F163 F167</xm:sqref>
        </x14:dataValidation>
        <x14:dataValidation type="list" allowBlank="1" showInputMessage="1" showErrorMessage="1" xr:uid="{00000000-0002-0000-0000-00001A000000}">
          <x14:formula1>
            <xm:f>'Model-Vendor'!$A$163:$A$166</xm:f>
          </x14:formula1>
          <xm:sqref>F171:F172 F176:F177 F215:F216 F211 F196:F197 F181 F225 F220:F221 F184 F188 F202 F192</xm:sqref>
        </x14:dataValidation>
        <x14:dataValidation type="list" allowBlank="1" showInputMessage="1" showErrorMessage="1" xr:uid="{00000000-0002-0000-0000-00001B000000}">
          <x14:formula1>
            <xm:f>'Model-Vendor'!$A$167:$A$170</xm:f>
          </x14:formula1>
          <xm:sqref>F173 F178 F217 F212 F222 F182 F226 F198 F185 F189 F203 F193</xm:sqref>
        </x14:dataValidation>
        <x14:dataValidation type="list" allowBlank="1" showInputMessage="1" showErrorMessage="1" xr:uid="{00000000-0002-0000-0000-00001C000000}">
          <x14:formula1>
            <xm:f>'Model-Vendor'!$A$43:$A$46</xm:f>
          </x14:formula1>
          <xm:sqref>F30</xm:sqref>
        </x14:dataValidation>
        <x14:dataValidation type="list" allowBlank="1" showInputMessage="1" showErrorMessage="1" xr:uid="{00000000-0002-0000-0000-00001D000000}">
          <x14:formula1>
            <xm:f>'Model-Vendor'!$A$87:$A$93</xm:f>
          </x14:formula1>
          <xm:sqref>F46</xm:sqref>
        </x14:dataValidation>
        <x14:dataValidation type="list" allowBlank="1" showInputMessage="1" showErrorMessage="1" xr:uid="{00000000-0002-0000-0000-00001E000000}">
          <x14:formula1>
            <xm:f>'Model-Vendor'!$A$129:$A$135</xm:f>
          </x14:formula1>
          <xm:sqref>F67 F74 F81 F88 F95 F102 F123 F132 F137 F127 F142 F109 F116</xm:sqref>
        </x14:dataValidation>
        <x14:dataValidation type="list" allowBlank="1" showInputMessage="1" showErrorMessage="1" xr:uid="{00000000-0002-0000-0000-00001F000000}">
          <x14:formula1>
            <xm:f>'Model-Vendor'!$A$152:$A$159</xm:f>
          </x14:formula1>
          <xm:sqref>F149 F153 F157 F161 F165 F169</xm:sqref>
        </x14:dataValidation>
        <x14:dataValidation type="list" allowBlank="1" showInputMessage="1" showErrorMessage="1" xr:uid="{00000000-0002-0000-0000-000020000000}">
          <x14:formula1>
            <xm:f>'Model-Vendor'!$A$57:$A$63</xm:f>
          </x14:formula1>
          <xm:sqref>F36</xm:sqref>
        </x14:dataValidation>
        <x14:dataValidation type="list" allowBlank="1" showInputMessage="1" showErrorMessage="1" xr:uid="{00000000-0002-0000-0000-000021000000}">
          <x14:formula1>
            <xm:f>'Model-Vendor'!$A$117</xm:f>
          </x14:formula1>
          <xm:sqref>F128 F133 F138 F143</xm:sqref>
        </x14:dataValidation>
        <x14:dataValidation type="list" allowBlank="1" showInputMessage="1" showErrorMessage="1" xr:uid="{00000000-0002-0000-0000-000022000000}">
          <x14:formula1>
            <xm:f>'Location Legend'!$M$14:$M$15</xm:f>
          </x14:formula1>
          <xm:sqref>B12:B14</xm:sqref>
        </x14:dataValidation>
        <x14:dataValidation type="list" allowBlank="1" showInputMessage="1" showErrorMessage="1" xr:uid="{00000000-0002-0000-0000-000023000000}">
          <x14:formula1>
            <xm:f>'Location Legend'!$M$16:$M$17</xm:f>
          </x14:formula1>
          <xm:sqref>B4</xm:sqref>
        </x14:dataValidation>
        <x14:dataValidation type="list" allowBlank="1" showInputMessage="1" showErrorMessage="1" xr:uid="{00000000-0002-0000-0000-000024000000}">
          <x14:formula1>
            <xm:f>'Model-Vendor'!$A$100:$A$107</xm:f>
          </x14:formula1>
          <xm:sqref>F49:F52</xm:sqref>
        </x14:dataValidation>
        <x14:dataValidation type="list" allowBlank="1" showInputMessage="1" showErrorMessage="1" xr:uid="{00000000-0002-0000-0000-000025000000}">
          <x14:formula1>
            <xm:f>'Model-Vendor'!$A$3:$A$5</xm:f>
          </x14:formula1>
          <xm:sqref>F18</xm:sqref>
        </x14:dataValidation>
        <x14:dataValidation type="list" allowBlank="1" showInputMessage="1" showErrorMessage="1" xr:uid="{00000000-0002-0000-0000-000026000000}">
          <x14:formula1>
            <xm:f>'Location Legend'!$A:$A</xm:f>
          </x14:formula1>
          <xm:sqref>I233:I1048576 B56 B233:C1048576 I202:I205 C56:C60 I56:I58 I60 B53:C53 C54 I53:I54 I211:I228 B202:C209 B211:C228</xm:sqref>
        </x14:dataValidation>
        <x14:dataValidation type="list" allowBlank="1" showInputMessage="1" showErrorMessage="1" xr:uid="{00000000-0002-0000-0000-000027000000}">
          <x14:formula1>
            <xm:f>'Location Legend'!$A$11:$A$17</xm:f>
          </x14:formula1>
          <xm:sqref>B32 B37</xm:sqref>
        </x14:dataValidation>
        <x14:dataValidation type="list" allowBlank="1" showInputMessage="1" showErrorMessage="1" xr:uid="{00000000-0002-0000-0000-000028000000}">
          <x14:formula1>
            <xm:f>'Location Legend'!$A$12:$A$14</xm:f>
          </x14:formula1>
          <xm:sqref>B57:B59 B54</xm:sqref>
        </x14:dataValidation>
        <x14:dataValidation type="list" allowBlank="1" showInputMessage="1" showErrorMessage="1" xr:uid="{00000000-0002-0000-0000-000029000000}">
          <x14:formula1>
            <xm:f>'Location Legend'!$G$15:$G$17</xm:f>
          </x14:formula1>
          <xm:sqref>B60</xm:sqref>
        </x14:dataValidation>
        <x14:dataValidation type="list" allowBlank="1" showInputMessage="1" showErrorMessage="1" xr:uid="{00000000-0002-0000-0000-00002A000000}">
          <x14:formula1>
            <xm:f>'Location Legend'!$D$3:$D$5</xm:f>
          </x14:formula1>
          <xm:sqref>B43:B44</xm:sqref>
        </x14:dataValidation>
        <x14:dataValidation type="list" allowBlank="1" showInputMessage="1" showErrorMessage="1" xr:uid="{00000000-0002-0000-0000-00002B000000}">
          <x14:formula1>
            <xm:f>'Model-Vendor'!$A$81:$A$83</xm:f>
          </x14:formula1>
          <xm:sqref>F42 F44 F47</xm:sqref>
        </x14:dataValidation>
        <x14:dataValidation type="list" allowBlank="1" showInputMessage="1" showErrorMessage="1" xr:uid="{00000000-0002-0000-0000-00002C000000}">
          <x14:formula1>
            <xm:f>'Model-Vendor'!$A$75:$A$80</xm:f>
          </x14:formula1>
          <xm:sqref>F41 F43</xm:sqref>
        </x14:dataValidation>
        <x14:dataValidation type="list" allowBlank="1" showInputMessage="1" showErrorMessage="1" xr:uid="{00000000-0002-0000-0000-00002D000000}">
          <x14:formula1>
            <xm:f>'Model-Vendor'!$A$119:$A$121</xm:f>
          </x14:formula1>
          <xm:sqref>F59 F65 F72 F79 F86 F93 F100 F107 F114 F121</xm:sqref>
        </x14:dataValidation>
        <x14:dataValidation type="list" allowBlank="1" showInputMessage="1" showErrorMessage="1" xr:uid="{00000000-0002-0000-0000-00002E000000}">
          <x14:formula1>
            <xm:f>'Model-Vendor'!$A$91:$A$92</xm:f>
          </x14:formula1>
          <xm:sqref>F55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3"/>
  <sheetViews>
    <sheetView topLeftCell="A79" workbookViewId="0">
      <selection activeCell="A121" sqref="A121"/>
    </sheetView>
  </sheetViews>
  <sheetFormatPr defaultColWidth="8.7265625" defaultRowHeight="14.5" x14ac:dyDescent="0.35"/>
  <cols>
    <col min="1" max="1" width="58.26953125" style="3" bestFit="1" customWidth="1"/>
    <col min="2" max="2" width="19.26953125" style="3" bestFit="1" customWidth="1"/>
    <col min="3" max="3" width="13" style="3" bestFit="1" customWidth="1"/>
    <col min="4" max="4" width="20.453125" style="1" bestFit="1" customWidth="1"/>
    <col min="5" max="5" width="24.26953125" style="1" bestFit="1" customWidth="1"/>
    <col min="6" max="16384" width="8.7265625" style="1"/>
  </cols>
  <sheetData>
    <row r="1" spans="1:5" ht="15" thickBot="1" x14ac:dyDescent="0.4">
      <c r="A1" s="344" t="s">
        <v>297</v>
      </c>
      <c r="B1" s="345"/>
      <c r="C1" s="345"/>
      <c r="D1" s="345"/>
      <c r="E1" s="346"/>
    </row>
    <row r="2" spans="1:5" x14ac:dyDescent="0.35">
      <c r="A2" s="7" t="s">
        <v>70</v>
      </c>
      <c r="B2" s="8" t="s">
        <v>69</v>
      </c>
      <c r="C2" s="8" t="s">
        <v>2</v>
      </c>
      <c r="D2" s="8" t="s">
        <v>5</v>
      </c>
      <c r="E2" s="9" t="s">
        <v>209</v>
      </c>
    </row>
    <row r="3" spans="1:5" x14ac:dyDescent="0.35">
      <c r="A3" s="7"/>
      <c r="B3" s="8"/>
      <c r="C3" s="8"/>
      <c r="D3" s="8"/>
      <c r="E3" s="9"/>
    </row>
    <row r="4" spans="1:5" x14ac:dyDescent="0.35">
      <c r="A4" s="10" t="s">
        <v>40</v>
      </c>
      <c r="B4" s="11" t="s">
        <v>327</v>
      </c>
      <c r="C4" s="11" t="s">
        <v>87</v>
      </c>
      <c r="D4" s="11" t="s">
        <v>148</v>
      </c>
      <c r="E4" s="12"/>
    </row>
    <row r="5" spans="1:5" x14ac:dyDescent="0.35">
      <c r="A5" s="10" t="s">
        <v>369</v>
      </c>
      <c r="B5" s="11" t="s">
        <v>368</v>
      </c>
      <c r="C5" s="11" t="s">
        <v>87</v>
      </c>
      <c r="D5" s="11" t="s">
        <v>148</v>
      </c>
      <c r="E5" s="12" t="s">
        <v>212</v>
      </c>
    </row>
    <row r="6" spans="1:5" x14ac:dyDescent="0.35">
      <c r="A6" s="10" t="s">
        <v>337</v>
      </c>
      <c r="B6" s="11" t="s">
        <v>336</v>
      </c>
      <c r="C6" s="11" t="s">
        <v>87</v>
      </c>
      <c r="D6" s="11" t="s">
        <v>148</v>
      </c>
      <c r="E6" s="12"/>
    </row>
    <row r="7" spans="1:5" x14ac:dyDescent="0.35">
      <c r="A7" s="10"/>
      <c r="B7" s="11"/>
      <c r="C7" s="11"/>
      <c r="D7" s="11"/>
      <c r="E7" s="12"/>
    </row>
    <row r="8" spans="1:5" x14ac:dyDescent="0.35">
      <c r="A8" s="13" t="s">
        <v>241</v>
      </c>
      <c r="B8" s="11" t="s">
        <v>38</v>
      </c>
      <c r="C8" s="11" t="s">
        <v>87</v>
      </c>
      <c r="D8" s="11" t="s">
        <v>158</v>
      </c>
      <c r="E8" s="12" t="s">
        <v>212</v>
      </c>
    </row>
    <row r="9" spans="1:5" x14ac:dyDescent="0.35">
      <c r="A9" s="13" t="s">
        <v>242</v>
      </c>
      <c r="B9" s="11" t="s">
        <v>61</v>
      </c>
      <c r="C9" s="11" t="s">
        <v>87</v>
      </c>
      <c r="D9" s="11" t="s">
        <v>158</v>
      </c>
      <c r="E9" s="12" t="s">
        <v>212</v>
      </c>
    </row>
    <row r="10" spans="1:5" x14ac:dyDescent="0.35">
      <c r="A10" s="58"/>
      <c r="B10" s="56"/>
      <c r="C10" s="56"/>
      <c r="D10" s="56"/>
      <c r="E10" s="57"/>
    </row>
    <row r="11" spans="1:5" x14ac:dyDescent="0.35">
      <c r="A11" s="58"/>
      <c r="B11" s="56"/>
      <c r="C11" s="56"/>
      <c r="D11" s="56"/>
      <c r="E11" s="57"/>
    </row>
    <row r="12" spans="1:5" x14ac:dyDescent="0.35">
      <c r="A12" s="10" t="s">
        <v>83</v>
      </c>
      <c r="B12" s="11" t="s">
        <v>82</v>
      </c>
      <c r="C12" s="11" t="s">
        <v>101</v>
      </c>
      <c r="D12" s="11" t="s">
        <v>154</v>
      </c>
      <c r="E12" s="12" t="s">
        <v>154</v>
      </c>
    </row>
    <row r="13" spans="1:5" x14ac:dyDescent="0.35">
      <c r="A13" s="10" t="s">
        <v>267</v>
      </c>
      <c r="B13" s="11" t="s">
        <v>268</v>
      </c>
      <c r="C13" s="11" t="s">
        <v>101</v>
      </c>
      <c r="D13" s="11" t="s">
        <v>154</v>
      </c>
      <c r="E13" s="12" t="s">
        <v>154</v>
      </c>
    </row>
    <row r="14" spans="1:5" x14ac:dyDescent="0.35">
      <c r="A14" s="55"/>
      <c r="B14" s="56"/>
      <c r="C14" s="56"/>
      <c r="D14" s="56"/>
      <c r="E14" s="57"/>
    </row>
    <row r="15" spans="1:5" x14ac:dyDescent="0.35">
      <c r="A15" s="55"/>
      <c r="B15" s="56"/>
      <c r="C15" s="56"/>
      <c r="D15" s="56"/>
      <c r="E15" s="57"/>
    </row>
    <row r="16" spans="1:5" x14ac:dyDescent="0.35">
      <c r="A16" s="10" t="s">
        <v>26</v>
      </c>
      <c r="B16" s="11" t="s">
        <v>25</v>
      </c>
      <c r="C16" s="11" t="s">
        <v>324</v>
      </c>
      <c r="D16" s="11" t="s">
        <v>135</v>
      </c>
      <c r="E16" s="12" t="s">
        <v>219</v>
      </c>
    </row>
    <row r="17" spans="1:5" x14ac:dyDescent="0.35">
      <c r="A17" s="55"/>
      <c r="B17" s="56"/>
      <c r="C17" s="56"/>
      <c r="D17" s="56"/>
      <c r="E17" s="57"/>
    </row>
    <row r="18" spans="1:5" x14ac:dyDescent="0.35">
      <c r="A18" s="10"/>
      <c r="B18" s="11"/>
      <c r="C18" s="11"/>
      <c r="D18" s="11"/>
      <c r="E18" s="12"/>
    </row>
    <row r="19" spans="1:5" x14ac:dyDescent="0.35">
      <c r="A19" s="10" t="s">
        <v>21</v>
      </c>
      <c r="B19" s="11" t="s">
        <v>20</v>
      </c>
      <c r="C19" s="11" t="s">
        <v>92</v>
      </c>
      <c r="D19" s="11" t="s">
        <v>120</v>
      </c>
      <c r="E19" s="12" t="s">
        <v>120</v>
      </c>
    </row>
    <row r="20" spans="1:5" x14ac:dyDescent="0.35">
      <c r="A20" s="55"/>
      <c r="B20" s="56"/>
      <c r="C20" s="56"/>
      <c r="D20" s="56"/>
      <c r="E20" s="57"/>
    </row>
    <row r="21" spans="1:5" x14ac:dyDescent="0.35">
      <c r="A21" s="55"/>
      <c r="B21" s="56"/>
      <c r="C21" s="56"/>
      <c r="D21" s="56"/>
      <c r="E21" s="57"/>
    </row>
    <row r="22" spans="1:5" x14ac:dyDescent="0.35">
      <c r="A22" s="10" t="s">
        <v>49</v>
      </c>
      <c r="B22" s="11" t="s">
        <v>48</v>
      </c>
      <c r="C22" s="11" t="s">
        <v>9</v>
      </c>
      <c r="D22" s="11" t="s">
        <v>156</v>
      </c>
      <c r="E22" s="12" t="s">
        <v>213</v>
      </c>
    </row>
    <row r="23" spans="1:5" x14ac:dyDescent="0.35">
      <c r="A23" s="10" t="s">
        <v>51</v>
      </c>
      <c r="B23" s="11" t="s">
        <v>50</v>
      </c>
      <c r="C23" s="11" t="s">
        <v>9</v>
      </c>
      <c r="D23" s="11" t="s">
        <v>156</v>
      </c>
      <c r="E23" s="12" t="s">
        <v>213</v>
      </c>
    </row>
    <row r="24" spans="1:5" x14ac:dyDescent="0.35">
      <c r="A24" s="10" t="s">
        <v>240</v>
      </c>
      <c r="B24" s="11" t="s">
        <v>81</v>
      </c>
      <c r="C24" s="11" t="s">
        <v>9</v>
      </c>
      <c r="D24" s="11" t="s">
        <v>156</v>
      </c>
      <c r="E24" s="12" t="s">
        <v>213</v>
      </c>
    </row>
    <row r="25" spans="1:5" x14ac:dyDescent="0.35">
      <c r="A25" s="55"/>
      <c r="B25" s="56"/>
      <c r="C25" s="56"/>
      <c r="D25" s="56"/>
      <c r="E25" s="57"/>
    </row>
    <row r="26" spans="1:5" x14ac:dyDescent="0.35">
      <c r="A26" s="55"/>
      <c r="B26" s="56"/>
      <c r="C26" s="56"/>
      <c r="D26" s="56"/>
      <c r="E26" s="57"/>
    </row>
    <row r="27" spans="1:5" x14ac:dyDescent="0.35">
      <c r="A27" s="10" t="s">
        <v>23</v>
      </c>
      <c r="B27" s="11" t="s">
        <v>22</v>
      </c>
      <c r="C27" s="11" t="s">
        <v>92</v>
      </c>
      <c r="D27" s="11" t="s">
        <v>198</v>
      </c>
      <c r="E27" s="12" t="s">
        <v>216</v>
      </c>
    </row>
    <row r="28" spans="1:5" x14ac:dyDescent="0.35">
      <c r="A28" s="10" t="s">
        <v>227</v>
      </c>
      <c r="B28" s="11" t="s">
        <v>28</v>
      </c>
      <c r="C28" s="11" t="s">
        <v>92</v>
      </c>
      <c r="D28" s="11" t="s">
        <v>198</v>
      </c>
      <c r="E28" s="12" t="s">
        <v>216</v>
      </c>
    </row>
    <row r="29" spans="1:5" x14ac:dyDescent="0.35">
      <c r="A29" s="13" t="s">
        <v>228</v>
      </c>
      <c r="B29" s="11" t="s">
        <v>60</v>
      </c>
      <c r="C29" s="11" t="s">
        <v>92</v>
      </c>
      <c r="D29" s="11" t="s">
        <v>198</v>
      </c>
      <c r="E29" s="12" t="s">
        <v>216</v>
      </c>
    </row>
    <row r="30" spans="1:5" x14ac:dyDescent="0.35">
      <c r="A30" s="58"/>
      <c r="B30" s="56"/>
      <c r="C30" s="56"/>
      <c r="D30" s="56"/>
      <c r="E30" s="57"/>
    </row>
    <row r="31" spans="1:5" x14ac:dyDescent="0.35">
      <c r="A31" s="58"/>
      <c r="B31" s="56"/>
      <c r="C31" s="56"/>
      <c r="D31" s="56"/>
      <c r="E31" s="57"/>
    </row>
    <row r="32" spans="1:5" x14ac:dyDescent="0.35">
      <c r="A32" s="10" t="s">
        <v>37</v>
      </c>
      <c r="B32" s="11" t="s">
        <v>36</v>
      </c>
      <c r="C32" s="11" t="s">
        <v>86</v>
      </c>
      <c r="D32" s="11" t="s">
        <v>167</v>
      </c>
      <c r="E32" s="12" t="s">
        <v>211</v>
      </c>
    </row>
    <row r="33" spans="1:5" x14ac:dyDescent="0.35">
      <c r="A33" s="10" t="s">
        <v>14</v>
      </c>
      <c r="B33" s="11" t="s">
        <v>13</v>
      </c>
      <c r="C33" s="11" t="s">
        <v>86</v>
      </c>
      <c r="D33" s="11" t="s">
        <v>167</v>
      </c>
      <c r="E33" s="12" t="s">
        <v>211</v>
      </c>
    </row>
    <row r="34" spans="1:5" x14ac:dyDescent="0.35">
      <c r="A34" s="13" t="s">
        <v>243</v>
      </c>
      <c r="B34" s="11" t="s">
        <v>43</v>
      </c>
      <c r="C34" s="11" t="s">
        <v>86</v>
      </c>
      <c r="D34" s="11" t="s">
        <v>167</v>
      </c>
      <c r="E34" s="12" t="s">
        <v>211</v>
      </c>
    </row>
    <row r="35" spans="1:5" x14ac:dyDescent="0.35">
      <c r="A35" s="13" t="s">
        <v>244</v>
      </c>
      <c r="B35" s="11" t="s">
        <v>12</v>
      </c>
      <c r="C35" s="11" t="s">
        <v>89</v>
      </c>
      <c r="D35" s="11" t="s">
        <v>167</v>
      </c>
      <c r="E35" s="12" t="s">
        <v>211</v>
      </c>
    </row>
    <row r="36" spans="1:5" x14ac:dyDescent="0.35">
      <c r="A36" s="13" t="s">
        <v>247</v>
      </c>
      <c r="B36" s="11" t="s">
        <v>34</v>
      </c>
      <c r="C36" s="11" t="s">
        <v>102</v>
      </c>
      <c r="D36" s="11" t="s">
        <v>167</v>
      </c>
      <c r="E36" s="12" t="s">
        <v>211</v>
      </c>
    </row>
    <row r="37" spans="1:5" x14ac:dyDescent="0.35">
      <c r="A37" s="13" t="s">
        <v>246</v>
      </c>
      <c r="B37" s="11" t="s">
        <v>33</v>
      </c>
      <c r="C37" s="11" t="s">
        <v>102</v>
      </c>
      <c r="D37" s="11" t="s">
        <v>167</v>
      </c>
      <c r="E37" s="12" t="s">
        <v>211</v>
      </c>
    </row>
    <row r="38" spans="1:5" x14ac:dyDescent="0.35">
      <c r="A38" s="14"/>
      <c r="B38" s="15"/>
      <c r="C38" s="15"/>
      <c r="D38" s="11"/>
      <c r="E38" s="12"/>
    </row>
    <row r="39" spans="1:5" ht="15" thickBot="1" x14ac:dyDescent="0.4">
      <c r="A39" s="16"/>
      <c r="B39" s="17"/>
      <c r="C39" s="17"/>
      <c r="D39" s="18"/>
      <c r="E39" s="19"/>
    </row>
    <row r="40" spans="1:5" ht="15" thickBot="1" x14ac:dyDescent="0.4">
      <c r="A40" s="78"/>
      <c r="B40" s="78"/>
      <c r="C40" s="78"/>
      <c r="D40" s="2"/>
      <c r="E40" s="2"/>
    </row>
    <row r="41" spans="1:5" ht="15" thickBot="1" x14ac:dyDescent="0.4">
      <c r="A41" s="350" t="s">
        <v>303</v>
      </c>
      <c r="B41" s="351"/>
      <c r="C41" s="351"/>
      <c r="D41" s="351"/>
      <c r="E41" s="352"/>
    </row>
    <row r="42" spans="1:5" x14ac:dyDescent="0.35">
      <c r="A42" s="20" t="s">
        <v>70</v>
      </c>
      <c r="B42" s="21" t="s">
        <v>69</v>
      </c>
      <c r="C42" s="21" t="s">
        <v>2</v>
      </c>
      <c r="D42" s="21" t="s">
        <v>5</v>
      </c>
      <c r="E42" s="22" t="s">
        <v>209</v>
      </c>
    </row>
    <row r="43" spans="1:5" x14ac:dyDescent="0.35">
      <c r="A43" s="62" t="s">
        <v>72</v>
      </c>
      <c r="B43" s="60" t="s">
        <v>71</v>
      </c>
      <c r="C43" s="60" t="s">
        <v>86</v>
      </c>
      <c r="D43" s="60" t="s">
        <v>167</v>
      </c>
      <c r="E43" s="61" t="s">
        <v>210</v>
      </c>
    </row>
    <row r="44" spans="1:5" x14ac:dyDescent="0.35">
      <c r="A44" s="59" t="s">
        <v>245</v>
      </c>
      <c r="B44" s="60" t="s">
        <v>84</v>
      </c>
      <c r="C44" s="60" t="s">
        <v>86</v>
      </c>
      <c r="D44" s="60" t="s">
        <v>167</v>
      </c>
      <c r="E44" s="61" t="s">
        <v>210</v>
      </c>
    </row>
    <row r="45" spans="1:5" x14ac:dyDescent="0.35">
      <c r="A45" s="59"/>
      <c r="B45" s="60"/>
      <c r="C45" s="60"/>
      <c r="D45" s="60"/>
      <c r="E45" s="61"/>
    </row>
    <row r="46" spans="1:5" ht="15" thickBot="1" x14ac:dyDescent="0.4">
      <c r="A46" s="79"/>
      <c r="B46" s="80"/>
      <c r="C46" s="80"/>
      <c r="D46" s="80"/>
      <c r="E46" s="81"/>
    </row>
    <row r="47" spans="1:5" ht="15" thickBot="1" x14ac:dyDescent="0.4">
      <c r="A47" s="40"/>
      <c r="B47" s="40"/>
      <c r="C47" s="40"/>
      <c r="D47" s="40"/>
      <c r="E47" s="40"/>
    </row>
    <row r="48" spans="1:5" ht="15" thickBot="1" x14ac:dyDescent="0.4">
      <c r="A48" s="344" t="s">
        <v>296</v>
      </c>
      <c r="B48" s="345"/>
      <c r="C48" s="345"/>
      <c r="D48" s="345"/>
      <c r="E48" s="346"/>
    </row>
    <row r="49" spans="1:6" x14ac:dyDescent="0.35">
      <c r="A49" s="7" t="s">
        <v>70</v>
      </c>
      <c r="B49" s="8" t="s">
        <v>69</v>
      </c>
      <c r="C49" s="8" t="s">
        <v>2</v>
      </c>
      <c r="D49" s="8" t="s">
        <v>5</v>
      </c>
      <c r="E49" s="9" t="s">
        <v>209</v>
      </c>
    </row>
    <row r="50" spans="1:6" x14ac:dyDescent="0.35">
      <c r="A50" s="13" t="s">
        <v>232</v>
      </c>
      <c r="B50" s="11" t="s">
        <v>24</v>
      </c>
      <c r="C50" s="11" t="s">
        <v>94</v>
      </c>
      <c r="D50" s="11" t="s">
        <v>197</v>
      </c>
      <c r="E50" s="12" t="s">
        <v>218</v>
      </c>
      <c r="F50" s="2"/>
    </row>
    <row r="51" spans="1:6" x14ac:dyDescent="0.35">
      <c r="A51" s="13" t="s">
        <v>233</v>
      </c>
      <c r="B51" s="11" t="s">
        <v>27</v>
      </c>
      <c r="C51" s="11" t="s">
        <v>94</v>
      </c>
      <c r="D51" s="11" t="s">
        <v>197</v>
      </c>
      <c r="E51" s="12" t="s">
        <v>218</v>
      </c>
    </row>
    <row r="52" spans="1:6" x14ac:dyDescent="0.35">
      <c r="A52" s="13" t="s">
        <v>234</v>
      </c>
      <c r="B52" s="11" t="s">
        <v>29</v>
      </c>
      <c r="C52" s="11" t="s">
        <v>94</v>
      </c>
      <c r="D52" s="11" t="s">
        <v>197</v>
      </c>
      <c r="E52" s="12" t="s">
        <v>218</v>
      </c>
    </row>
    <row r="53" spans="1:6" x14ac:dyDescent="0.35">
      <c r="A53" s="58"/>
      <c r="B53" s="56"/>
      <c r="C53" s="56"/>
      <c r="D53" s="56"/>
      <c r="E53" s="57"/>
    </row>
    <row r="54" spans="1:6" x14ac:dyDescent="0.35">
      <c r="A54" s="58"/>
      <c r="B54" s="56"/>
      <c r="C54" s="56"/>
      <c r="D54" s="56"/>
      <c r="E54" s="57"/>
    </row>
    <row r="55" spans="1:6" x14ac:dyDescent="0.35">
      <c r="A55" s="13" t="s">
        <v>231</v>
      </c>
      <c r="B55" s="11" t="s">
        <v>45</v>
      </c>
      <c r="C55" s="11" t="s">
        <v>88</v>
      </c>
      <c r="D55" s="11" t="s">
        <v>132</v>
      </c>
      <c r="E55" s="12"/>
    </row>
    <row r="56" spans="1:6" x14ac:dyDescent="0.35">
      <c r="A56" s="58"/>
      <c r="B56" s="56"/>
      <c r="C56" s="56"/>
      <c r="D56" s="56"/>
      <c r="E56" s="57"/>
    </row>
    <row r="57" spans="1:6" x14ac:dyDescent="0.35">
      <c r="A57" s="58"/>
      <c r="B57" s="56"/>
      <c r="C57" s="56"/>
      <c r="D57" s="56"/>
      <c r="E57" s="57"/>
    </row>
    <row r="58" spans="1:6" x14ac:dyDescent="0.35">
      <c r="A58" s="35" t="s">
        <v>42</v>
      </c>
      <c r="B58" s="36" t="s">
        <v>41</v>
      </c>
      <c r="C58" s="36" t="s">
        <v>88</v>
      </c>
      <c r="D58" s="36" t="s">
        <v>138</v>
      </c>
      <c r="E58" s="37" t="s">
        <v>221</v>
      </c>
    </row>
    <row r="59" spans="1:6" x14ac:dyDescent="0.35">
      <c r="A59" s="35" t="s">
        <v>76</v>
      </c>
      <c r="B59" s="36" t="s">
        <v>75</v>
      </c>
      <c r="C59" s="36" t="s">
        <v>88</v>
      </c>
      <c r="D59" s="36" t="s">
        <v>138</v>
      </c>
      <c r="E59" s="37" t="s">
        <v>221</v>
      </c>
    </row>
    <row r="60" spans="1:6" x14ac:dyDescent="0.35">
      <c r="A60" s="13" t="s">
        <v>236</v>
      </c>
      <c r="B60" s="36" t="s">
        <v>17</v>
      </c>
      <c r="C60" s="36" t="s">
        <v>93</v>
      </c>
      <c r="D60" s="36" t="s">
        <v>138</v>
      </c>
      <c r="E60" s="37" t="s">
        <v>221</v>
      </c>
    </row>
    <row r="61" spans="1:6" x14ac:dyDescent="0.35">
      <c r="A61" s="13" t="s">
        <v>235</v>
      </c>
      <c r="B61" s="36" t="s">
        <v>62</v>
      </c>
      <c r="C61" s="36" t="s">
        <v>93</v>
      </c>
      <c r="D61" s="36" t="s">
        <v>138</v>
      </c>
      <c r="E61" s="37" t="s">
        <v>221</v>
      </c>
    </row>
    <row r="62" spans="1:6" x14ac:dyDescent="0.35">
      <c r="A62" s="121" t="s">
        <v>318</v>
      </c>
      <c r="B62" s="100" t="s">
        <v>328</v>
      </c>
      <c r="C62" s="100" t="s">
        <v>93</v>
      </c>
      <c r="D62" s="100" t="s">
        <v>138</v>
      </c>
      <c r="E62" s="101" t="s">
        <v>221</v>
      </c>
    </row>
    <row r="63" spans="1:6" ht="16" thickBot="1" x14ac:dyDescent="0.4">
      <c r="A63" s="126" t="s">
        <v>331</v>
      </c>
      <c r="B63" s="100" t="s">
        <v>332</v>
      </c>
      <c r="C63" s="100" t="s">
        <v>93</v>
      </c>
      <c r="D63" s="100" t="s">
        <v>138</v>
      </c>
      <c r="E63" s="101" t="s">
        <v>221</v>
      </c>
    </row>
    <row r="64" spans="1:6" x14ac:dyDescent="0.35">
      <c r="A64" s="35" t="s">
        <v>307</v>
      </c>
      <c r="B64" s="36" t="s">
        <v>280</v>
      </c>
      <c r="C64" s="36" t="s">
        <v>93</v>
      </c>
      <c r="D64" s="36" t="s">
        <v>132</v>
      </c>
      <c r="E64" s="37"/>
    </row>
    <row r="65" spans="1:5" ht="16" thickBot="1" x14ac:dyDescent="0.4">
      <c r="A65" s="126" t="s">
        <v>333</v>
      </c>
      <c r="B65" s="83" t="s">
        <v>334</v>
      </c>
      <c r="C65" s="83" t="s">
        <v>93</v>
      </c>
      <c r="D65" s="83" t="s">
        <v>138</v>
      </c>
      <c r="E65" s="84"/>
    </row>
    <row r="66" spans="1:5" x14ac:dyDescent="0.35">
      <c r="A66" s="82"/>
      <c r="B66" s="83"/>
      <c r="C66" s="83"/>
      <c r="D66" s="83"/>
      <c r="E66" s="84"/>
    </row>
    <row r="67" spans="1:5" x14ac:dyDescent="0.35">
      <c r="A67" s="10" t="s">
        <v>53</v>
      </c>
      <c r="B67" s="11" t="s">
        <v>52</v>
      </c>
      <c r="C67" s="11" t="s">
        <v>99</v>
      </c>
      <c r="D67" s="11" t="s">
        <v>195</v>
      </c>
      <c r="E67" s="12"/>
    </row>
    <row r="68" spans="1:5" x14ac:dyDescent="0.35">
      <c r="A68" s="10" t="s">
        <v>55</v>
      </c>
      <c r="B68" s="11" t="s">
        <v>54</v>
      </c>
      <c r="C68" s="11" t="s">
        <v>99</v>
      </c>
      <c r="D68" s="11" t="s">
        <v>195</v>
      </c>
      <c r="E68" s="12"/>
    </row>
    <row r="69" spans="1:5" x14ac:dyDescent="0.35">
      <c r="A69" s="10" t="s">
        <v>66</v>
      </c>
      <c r="B69" s="11" t="s">
        <v>65</v>
      </c>
      <c r="C69" s="11" t="s">
        <v>99</v>
      </c>
      <c r="D69" s="11" t="s">
        <v>195</v>
      </c>
      <c r="E69" s="12"/>
    </row>
    <row r="70" spans="1:5" x14ac:dyDescent="0.35">
      <c r="A70" s="14" t="s">
        <v>366</v>
      </c>
      <c r="B70" s="15" t="s">
        <v>367</v>
      </c>
      <c r="C70" s="15" t="s">
        <v>99</v>
      </c>
      <c r="D70" s="11" t="s">
        <v>195</v>
      </c>
      <c r="E70" s="12"/>
    </row>
    <row r="71" spans="1:5" ht="15" thickBot="1" x14ac:dyDescent="0.4">
      <c r="A71" s="16"/>
      <c r="B71" s="17"/>
      <c r="C71" s="17"/>
      <c r="D71" s="18"/>
      <c r="E71" s="19"/>
    </row>
    <row r="72" spans="1:5" ht="15" thickBot="1" x14ac:dyDescent="0.4"/>
    <row r="73" spans="1:5" ht="15" thickBot="1" x14ac:dyDescent="0.4">
      <c r="A73" s="350" t="s">
        <v>291</v>
      </c>
      <c r="B73" s="351"/>
      <c r="C73" s="351"/>
      <c r="D73" s="351"/>
      <c r="E73" s="352"/>
    </row>
    <row r="74" spans="1:5" x14ac:dyDescent="0.35">
      <c r="A74" s="20" t="s">
        <v>70</v>
      </c>
      <c r="B74" s="21" t="s">
        <v>69</v>
      </c>
      <c r="C74" s="21" t="s">
        <v>2</v>
      </c>
      <c r="D74" s="21" t="s">
        <v>5</v>
      </c>
      <c r="E74" s="22" t="s">
        <v>209</v>
      </c>
    </row>
    <row r="75" spans="1:5" x14ac:dyDescent="0.35">
      <c r="A75" s="23" t="s">
        <v>235</v>
      </c>
      <c r="B75" s="26" t="s">
        <v>62</v>
      </c>
      <c r="C75" s="26" t="s">
        <v>93</v>
      </c>
      <c r="D75" s="26" t="s">
        <v>138</v>
      </c>
      <c r="E75" s="27" t="s">
        <v>221</v>
      </c>
    </row>
    <row r="76" spans="1:5" x14ac:dyDescent="0.35">
      <c r="A76" s="23" t="s">
        <v>236</v>
      </c>
      <c r="B76" s="26" t="s">
        <v>17</v>
      </c>
      <c r="C76" s="26" t="s">
        <v>93</v>
      </c>
      <c r="D76" s="26" t="s">
        <v>138</v>
      </c>
      <c r="E76" s="27" t="s">
        <v>221</v>
      </c>
    </row>
    <row r="77" spans="1:5" s="4" customFormat="1" x14ac:dyDescent="0.35">
      <c r="A77" s="85" t="s">
        <v>257</v>
      </c>
      <c r="B77" s="86" t="s">
        <v>258</v>
      </c>
      <c r="C77" s="86" t="s">
        <v>259</v>
      </c>
      <c r="D77" s="86" t="s">
        <v>138</v>
      </c>
      <c r="E77" s="87" t="s">
        <v>221</v>
      </c>
    </row>
    <row r="78" spans="1:5" x14ac:dyDescent="0.35">
      <c r="A78" s="28" t="s">
        <v>318</v>
      </c>
      <c r="B78" s="24" t="s">
        <v>328</v>
      </c>
      <c r="C78" s="24" t="s">
        <v>93</v>
      </c>
      <c r="D78" s="24" t="s">
        <v>138</v>
      </c>
      <c r="E78" s="25" t="s">
        <v>221</v>
      </c>
    </row>
    <row r="79" spans="1:5" x14ac:dyDescent="0.35">
      <c r="A79" s="28" t="s">
        <v>374</v>
      </c>
      <c r="B79" s="24" t="s">
        <v>375</v>
      </c>
      <c r="C79" s="24" t="s">
        <v>93</v>
      </c>
      <c r="D79" s="275" t="s">
        <v>138</v>
      </c>
      <c r="E79" s="276" t="s">
        <v>221</v>
      </c>
    </row>
    <row r="80" spans="1:5" x14ac:dyDescent="0.35">
      <c r="A80" s="277"/>
      <c r="B80" s="277"/>
      <c r="C80" s="277"/>
      <c r="D80" s="278"/>
      <c r="E80" s="278"/>
    </row>
    <row r="81" spans="1:5" x14ac:dyDescent="0.35">
      <c r="A81" s="28" t="s">
        <v>19</v>
      </c>
      <c r="B81" s="24" t="s">
        <v>18</v>
      </c>
      <c r="C81" s="24" t="s">
        <v>90</v>
      </c>
      <c r="D81" s="24" t="s">
        <v>199</v>
      </c>
      <c r="E81" s="25"/>
    </row>
    <row r="82" spans="1:5" x14ac:dyDescent="0.35">
      <c r="A82" s="28" t="s">
        <v>68</v>
      </c>
      <c r="B82" s="24" t="s">
        <v>67</v>
      </c>
      <c r="C82" s="24" t="s">
        <v>90</v>
      </c>
      <c r="D82" s="24" t="s">
        <v>199</v>
      </c>
      <c r="E82" s="25"/>
    </row>
    <row r="83" spans="1:5" ht="15" thickBot="1" x14ac:dyDescent="0.4">
      <c r="A83" s="31"/>
      <c r="B83" s="32"/>
      <c r="C83" s="32"/>
      <c r="D83" s="33"/>
      <c r="E83" s="34"/>
    </row>
    <row r="84" spans="1:5" ht="15" thickBot="1" x14ac:dyDescent="0.4"/>
    <row r="85" spans="1:5" ht="15" thickBot="1" x14ac:dyDescent="0.4">
      <c r="A85" s="344" t="s">
        <v>292</v>
      </c>
      <c r="B85" s="345"/>
      <c r="C85" s="345"/>
      <c r="D85" s="345"/>
      <c r="E85" s="346"/>
    </row>
    <row r="86" spans="1:5" x14ac:dyDescent="0.35">
      <c r="A86" s="7" t="s">
        <v>70</v>
      </c>
      <c r="B86" s="8" t="s">
        <v>69</v>
      </c>
      <c r="C86" s="8" t="s">
        <v>2</v>
      </c>
      <c r="D86" s="8" t="s">
        <v>5</v>
      </c>
      <c r="E86" s="9" t="s">
        <v>209</v>
      </c>
    </row>
    <row r="87" spans="1:5" x14ac:dyDescent="0.35">
      <c r="A87" s="35" t="s">
        <v>223</v>
      </c>
      <c r="B87" s="36" t="s">
        <v>31</v>
      </c>
      <c r="C87" s="36" t="s">
        <v>9</v>
      </c>
      <c r="D87" s="36" t="s">
        <v>112</v>
      </c>
      <c r="E87" s="12" t="s">
        <v>215</v>
      </c>
    </row>
    <row r="88" spans="1:5" x14ac:dyDescent="0.35">
      <c r="A88" s="35" t="s">
        <v>224</v>
      </c>
      <c r="B88" s="36" t="s">
        <v>30</v>
      </c>
      <c r="C88" s="36" t="s">
        <v>9</v>
      </c>
      <c r="D88" s="36" t="s">
        <v>112</v>
      </c>
      <c r="E88" s="12" t="s">
        <v>215</v>
      </c>
    </row>
    <row r="89" spans="1:5" x14ac:dyDescent="0.35">
      <c r="A89" s="13" t="s">
        <v>235</v>
      </c>
      <c r="B89" s="36" t="s">
        <v>62</v>
      </c>
      <c r="C89" s="36" t="s">
        <v>93</v>
      </c>
      <c r="D89" s="36" t="s">
        <v>138</v>
      </c>
      <c r="E89" s="37" t="s">
        <v>221</v>
      </c>
    </row>
    <row r="90" spans="1:5" x14ac:dyDescent="0.35">
      <c r="A90" s="13" t="s">
        <v>236</v>
      </c>
      <c r="B90" s="36" t="s">
        <v>17</v>
      </c>
      <c r="C90" s="36" t="s">
        <v>93</v>
      </c>
      <c r="D90" s="36" t="s">
        <v>138</v>
      </c>
      <c r="E90" s="37" t="s">
        <v>221</v>
      </c>
    </row>
    <row r="91" spans="1:5" x14ac:dyDescent="0.35">
      <c r="A91" s="14" t="s">
        <v>318</v>
      </c>
      <c r="B91" s="15" t="s">
        <v>328</v>
      </c>
      <c r="C91" s="15" t="s">
        <v>93</v>
      </c>
      <c r="D91" s="11" t="s">
        <v>138</v>
      </c>
      <c r="E91" s="12" t="s">
        <v>221</v>
      </c>
    </row>
    <row r="92" spans="1:5" ht="16" thickBot="1" x14ac:dyDescent="0.4">
      <c r="A92" s="126" t="s">
        <v>331</v>
      </c>
      <c r="B92" s="100" t="s">
        <v>332</v>
      </c>
      <c r="C92" s="100" t="s">
        <v>93</v>
      </c>
      <c r="D92" s="100" t="s">
        <v>138</v>
      </c>
      <c r="E92" s="101" t="s">
        <v>221</v>
      </c>
    </row>
    <row r="93" spans="1:5" x14ac:dyDescent="0.35">
      <c r="A93" s="10" t="s">
        <v>374</v>
      </c>
      <c r="B93" s="11" t="s">
        <v>375</v>
      </c>
      <c r="C93" s="11" t="s">
        <v>93</v>
      </c>
      <c r="D93" s="273" t="s">
        <v>138</v>
      </c>
      <c r="E93" s="274" t="s">
        <v>221</v>
      </c>
    </row>
    <row r="94" spans="1:5" x14ac:dyDescent="0.35">
      <c r="A94" s="10" t="s">
        <v>19</v>
      </c>
      <c r="B94" s="11" t="s">
        <v>18</v>
      </c>
      <c r="C94" s="11" t="s">
        <v>90</v>
      </c>
      <c r="D94" s="11" t="s">
        <v>199</v>
      </c>
      <c r="E94" s="12"/>
    </row>
    <row r="95" spans="1:5" x14ac:dyDescent="0.35">
      <c r="A95" s="10" t="s">
        <v>68</v>
      </c>
      <c r="B95" s="11" t="s">
        <v>67</v>
      </c>
      <c r="C95" s="11" t="s">
        <v>90</v>
      </c>
      <c r="D95" s="11" t="s">
        <v>199</v>
      </c>
      <c r="E95" s="12"/>
    </row>
    <row r="96" spans="1:5" ht="15" thickBot="1" x14ac:dyDescent="0.4">
      <c r="A96" s="16"/>
      <c r="B96" s="17"/>
      <c r="C96" s="17"/>
      <c r="D96" s="18"/>
      <c r="E96" s="19"/>
    </row>
    <row r="97" spans="1:5" ht="15" thickBot="1" x14ac:dyDescent="0.4"/>
    <row r="98" spans="1:5" ht="15" thickBot="1" x14ac:dyDescent="0.4">
      <c r="A98" s="350" t="s">
        <v>298</v>
      </c>
      <c r="B98" s="351"/>
      <c r="C98" s="351"/>
      <c r="D98" s="351"/>
      <c r="E98" s="352"/>
    </row>
    <row r="99" spans="1:5" x14ac:dyDescent="0.35">
      <c r="A99" s="20" t="s">
        <v>70</v>
      </c>
      <c r="B99" s="21" t="s">
        <v>69</v>
      </c>
      <c r="C99" s="21" t="s">
        <v>2</v>
      </c>
      <c r="D99" s="21" t="s">
        <v>5</v>
      </c>
      <c r="E99" s="22" t="s">
        <v>209</v>
      </c>
    </row>
    <row r="100" spans="1:5" x14ac:dyDescent="0.35">
      <c r="A100" s="28" t="s">
        <v>14</v>
      </c>
      <c r="B100" s="24" t="s">
        <v>13</v>
      </c>
      <c r="C100" s="24" t="s">
        <v>86</v>
      </c>
      <c r="D100" s="24" t="s">
        <v>167</v>
      </c>
      <c r="E100" s="25" t="s">
        <v>211</v>
      </c>
    </row>
    <row r="101" spans="1:5" x14ac:dyDescent="0.35">
      <c r="A101" s="23" t="s">
        <v>243</v>
      </c>
      <c r="B101" s="24" t="s">
        <v>43</v>
      </c>
      <c r="C101" s="24" t="s">
        <v>86</v>
      </c>
      <c r="D101" s="24" t="s">
        <v>167</v>
      </c>
      <c r="E101" s="25" t="s">
        <v>211</v>
      </c>
    </row>
    <row r="102" spans="1:5" x14ac:dyDescent="0.35">
      <c r="A102" s="23" t="s">
        <v>244</v>
      </c>
      <c r="B102" s="24" t="s">
        <v>12</v>
      </c>
      <c r="C102" s="24" t="s">
        <v>89</v>
      </c>
      <c r="D102" s="24" t="s">
        <v>167</v>
      </c>
      <c r="E102" s="25" t="s">
        <v>211</v>
      </c>
    </row>
    <row r="103" spans="1:5" x14ac:dyDescent="0.35">
      <c r="A103" s="23" t="s">
        <v>247</v>
      </c>
      <c r="B103" s="24" t="s">
        <v>34</v>
      </c>
      <c r="C103" s="24" t="s">
        <v>102</v>
      </c>
      <c r="D103" s="24" t="s">
        <v>167</v>
      </c>
      <c r="E103" s="25" t="s">
        <v>211</v>
      </c>
    </row>
    <row r="104" spans="1:5" x14ac:dyDescent="0.35">
      <c r="A104" s="23" t="s">
        <v>246</v>
      </c>
      <c r="B104" s="24" t="s">
        <v>33</v>
      </c>
      <c r="C104" s="24" t="s">
        <v>102</v>
      </c>
      <c r="D104" s="24" t="s">
        <v>167</v>
      </c>
      <c r="E104" s="25" t="s">
        <v>211</v>
      </c>
    </row>
    <row r="105" spans="1:5" x14ac:dyDescent="0.35">
      <c r="A105" s="28" t="s">
        <v>37</v>
      </c>
      <c r="B105" s="24" t="s">
        <v>36</v>
      </c>
      <c r="C105" s="24" t="s">
        <v>86</v>
      </c>
      <c r="D105" s="24" t="s">
        <v>167</v>
      </c>
      <c r="E105" s="25" t="s">
        <v>211</v>
      </c>
    </row>
    <row r="106" spans="1:5" ht="15" thickBot="1" x14ac:dyDescent="0.4">
      <c r="A106" s="31" t="s">
        <v>342</v>
      </c>
      <c r="B106" s="32" t="s">
        <v>343</v>
      </c>
      <c r="C106" s="32" t="s">
        <v>86</v>
      </c>
      <c r="D106" s="33" t="s">
        <v>167</v>
      </c>
      <c r="E106" s="34" t="s">
        <v>211</v>
      </c>
    </row>
    <row r="107" spans="1:5" ht="15" thickBot="1" x14ac:dyDescent="0.4"/>
    <row r="108" spans="1:5" ht="15" thickBot="1" x14ac:dyDescent="0.4">
      <c r="A108" s="344" t="s">
        <v>293</v>
      </c>
      <c r="B108" s="345"/>
      <c r="C108" s="345"/>
      <c r="D108" s="345"/>
      <c r="E108" s="346"/>
    </row>
    <row r="109" spans="1:5" x14ac:dyDescent="0.35">
      <c r="A109" s="7" t="s">
        <v>70</v>
      </c>
      <c r="B109" s="8" t="s">
        <v>69</v>
      </c>
      <c r="C109" s="8" t="s">
        <v>2</v>
      </c>
      <c r="D109" s="8" t="s">
        <v>5</v>
      </c>
      <c r="E109" s="9" t="s">
        <v>209</v>
      </c>
    </row>
    <row r="110" spans="1:5" x14ac:dyDescent="0.35">
      <c r="A110" s="13" t="s">
        <v>239</v>
      </c>
      <c r="B110" s="11" t="s">
        <v>32</v>
      </c>
      <c r="C110" s="11" t="s">
        <v>9</v>
      </c>
      <c r="D110" s="11" t="s">
        <v>146</v>
      </c>
      <c r="E110" s="12" t="s">
        <v>214</v>
      </c>
    </row>
    <row r="111" spans="1:5" x14ac:dyDescent="0.35">
      <c r="A111" s="13" t="s">
        <v>238</v>
      </c>
      <c r="B111" s="11" t="s">
        <v>8</v>
      </c>
      <c r="C111" s="11" t="s">
        <v>9</v>
      </c>
      <c r="D111" s="11" t="s">
        <v>146</v>
      </c>
      <c r="E111" s="12" t="s">
        <v>214</v>
      </c>
    </row>
    <row r="112" spans="1:5" x14ac:dyDescent="0.35">
      <c r="A112" s="10" t="s">
        <v>378</v>
      </c>
      <c r="B112" s="11" t="s">
        <v>80</v>
      </c>
      <c r="C112" s="11" t="s">
        <v>9</v>
      </c>
      <c r="D112" s="11" t="s">
        <v>146</v>
      </c>
      <c r="E112" s="12" t="s">
        <v>214</v>
      </c>
    </row>
    <row r="113" spans="1:5" x14ac:dyDescent="0.35">
      <c r="A113" s="10"/>
      <c r="B113" s="11"/>
      <c r="C113" s="11"/>
      <c r="D113" s="11"/>
      <c r="E113" s="12"/>
    </row>
    <row r="114" spans="1:5" x14ac:dyDescent="0.35">
      <c r="A114" s="10" t="s">
        <v>47</v>
      </c>
      <c r="B114" s="11" t="s">
        <v>46</v>
      </c>
      <c r="C114" s="11" t="s">
        <v>9</v>
      </c>
      <c r="D114" s="11" t="s">
        <v>145</v>
      </c>
      <c r="E114" s="12"/>
    </row>
    <row r="115" spans="1:5" x14ac:dyDescent="0.35">
      <c r="A115" s="55"/>
      <c r="B115" s="56"/>
      <c r="C115" s="56"/>
      <c r="D115" s="56"/>
      <c r="E115" s="57"/>
    </row>
    <row r="116" spans="1:5" x14ac:dyDescent="0.35">
      <c r="A116" s="55"/>
      <c r="B116" s="56"/>
      <c r="C116" s="56"/>
      <c r="D116" s="56"/>
      <c r="E116" s="57"/>
    </row>
    <row r="117" spans="1:5" x14ac:dyDescent="0.35">
      <c r="A117" s="13" t="s">
        <v>237</v>
      </c>
      <c r="B117" s="11" t="s">
        <v>16</v>
      </c>
      <c r="C117" s="11" t="s">
        <v>100</v>
      </c>
      <c r="D117" s="11" t="s">
        <v>142</v>
      </c>
      <c r="E117" s="12" t="s">
        <v>220</v>
      </c>
    </row>
    <row r="118" spans="1:5" x14ac:dyDescent="0.35">
      <c r="A118" s="58"/>
      <c r="B118" s="56"/>
      <c r="C118" s="56"/>
      <c r="D118" s="56"/>
      <c r="E118" s="57"/>
    </row>
    <row r="119" spans="1:5" x14ac:dyDescent="0.35">
      <c r="A119" s="58"/>
      <c r="B119" s="56"/>
      <c r="C119" s="56"/>
      <c r="D119" s="56"/>
      <c r="E119" s="57"/>
    </row>
    <row r="120" spans="1:5" x14ac:dyDescent="0.35">
      <c r="A120" s="13" t="s">
        <v>229</v>
      </c>
      <c r="B120" s="11" t="s">
        <v>44</v>
      </c>
      <c r="C120" s="11" t="s">
        <v>99</v>
      </c>
      <c r="D120" s="11" t="s">
        <v>122</v>
      </c>
      <c r="E120" s="12"/>
    </row>
    <row r="121" spans="1:5" x14ac:dyDescent="0.35">
      <c r="A121" s="13" t="s">
        <v>379</v>
      </c>
      <c r="B121" s="11" t="s">
        <v>380</v>
      </c>
      <c r="C121" s="11" t="s">
        <v>99</v>
      </c>
      <c r="D121" s="11" t="s">
        <v>122</v>
      </c>
      <c r="E121" s="12"/>
    </row>
    <row r="122" spans="1:5" x14ac:dyDescent="0.35">
      <c r="A122" s="10"/>
      <c r="B122" s="11"/>
      <c r="C122" s="11"/>
      <c r="D122" s="11"/>
      <c r="E122" s="12"/>
    </row>
    <row r="123" spans="1:5" x14ac:dyDescent="0.35">
      <c r="A123" s="13" t="s">
        <v>225</v>
      </c>
      <c r="B123" s="11" t="s">
        <v>35</v>
      </c>
      <c r="C123" s="11" t="s">
        <v>96</v>
      </c>
      <c r="D123" s="11" t="s">
        <v>114</v>
      </c>
      <c r="E123" s="12"/>
    </row>
    <row r="124" spans="1:5" x14ac:dyDescent="0.35">
      <c r="A124" s="10"/>
      <c r="B124" s="11"/>
      <c r="C124" s="11"/>
      <c r="D124" s="11"/>
      <c r="E124" s="12"/>
    </row>
    <row r="125" spans="1:5" x14ac:dyDescent="0.35">
      <c r="A125" s="10"/>
      <c r="B125" s="11"/>
      <c r="C125" s="11"/>
      <c r="D125" s="11"/>
      <c r="E125" s="12"/>
    </row>
    <row r="126" spans="1:5" x14ac:dyDescent="0.35">
      <c r="A126" s="10" t="s">
        <v>78</v>
      </c>
      <c r="B126" s="11" t="s">
        <v>77</v>
      </c>
      <c r="C126" s="11" t="s">
        <v>95</v>
      </c>
      <c r="D126" s="11" t="s">
        <v>150</v>
      </c>
      <c r="E126" s="12"/>
    </row>
    <row r="127" spans="1:5" x14ac:dyDescent="0.35">
      <c r="A127" s="55"/>
      <c r="B127" s="56"/>
      <c r="C127" s="56"/>
      <c r="D127" s="56"/>
      <c r="E127" s="57"/>
    </row>
    <row r="128" spans="1:5" x14ac:dyDescent="0.35">
      <c r="A128" s="55"/>
      <c r="B128" s="56"/>
      <c r="C128" s="56"/>
      <c r="D128" s="56"/>
      <c r="E128" s="57"/>
    </row>
    <row r="129" spans="1:5" x14ac:dyDescent="0.35">
      <c r="A129" s="10" t="s">
        <v>14</v>
      </c>
      <c r="B129" s="11" t="s">
        <v>13</v>
      </c>
      <c r="C129" s="11" t="s">
        <v>86</v>
      </c>
      <c r="D129" s="11" t="s">
        <v>167</v>
      </c>
      <c r="E129" s="12" t="s">
        <v>211</v>
      </c>
    </row>
    <row r="130" spans="1:5" x14ac:dyDescent="0.35">
      <c r="A130" s="13" t="s">
        <v>243</v>
      </c>
      <c r="B130" s="11" t="s">
        <v>43</v>
      </c>
      <c r="C130" s="11" t="s">
        <v>86</v>
      </c>
      <c r="D130" s="11" t="s">
        <v>167</v>
      </c>
      <c r="E130" s="12" t="s">
        <v>211</v>
      </c>
    </row>
    <row r="131" spans="1:5" x14ac:dyDescent="0.35">
      <c r="A131" s="13" t="s">
        <v>244</v>
      </c>
      <c r="B131" s="11" t="s">
        <v>12</v>
      </c>
      <c r="C131" s="11" t="s">
        <v>89</v>
      </c>
      <c r="D131" s="11" t="s">
        <v>167</v>
      </c>
      <c r="E131" s="12" t="s">
        <v>211</v>
      </c>
    </row>
    <row r="132" spans="1:5" x14ac:dyDescent="0.35">
      <c r="A132" s="13" t="s">
        <v>247</v>
      </c>
      <c r="B132" s="11" t="s">
        <v>34</v>
      </c>
      <c r="C132" s="11" t="s">
        <v>102</v>
      </c>
      <c r="D132" s="11" t="s">
        <v>167</v>
      </c>
      <c r="E132" s="12" t="s">
        <v>211</v>
      </c>
    </row>
    <row r="133" spans="1:5" x14ac:dyDescent="0.35">
      <c r="A133" s="13" t="s">
        <v>246</v>
      </c>
      <c r="B133" s="11" t="s">
        <v>33</v>
      </c>
      <c r="C133" s="11" t="s">
        <v>102</v>
      </c>
      <c r="D133" s="11" t="s">
        <v>167</v>
      </c>
      <c r="E133" s="12" t="s">
        <v>211</v>
      </c>
    </row>
    <row r="134" spans="1:5" x14ac:dyDescent="0.35">
      <c r="A134" s="10" t="s">
        <v>37</v>
      </c>
      <c r="B134" s="11" t="s">
        <v>36</v>
      </c>
      <c r="C134" s="11" t="s">
        <v>86</v>
      </c>
      <c r="D134" s="11" t="s">
        <v>167</v>
      </c>
      <c r="E134" s="12" t="s">
        <v>211</v>
      </c>
    </row>
    <row r="135" spans="1:5" ht="15" thickBot="1" x14ac:dyDescent="0.4">
      <c r="A135" s="16"/>
      <c r="B135" s="17"/>
      <c r="C135" s="17"/>
      <c r="D135" s="18"/>
      <c r="E135" s="19"/>
    </row>
    <row r="136" spans="1:5" ht="15" thickBot="1" x14ac:dyDescent="0.4"/>
    <row r="137" spans="1:5" ht="15" thickBot="1" x14ac:dyDescent="0.4">
      <c r="A137" s="350" t="s">
        <v>294</v>
      </c>
      <c r="B137" s="351"/>
      <c r="C137" s="351"/>
      <c r="D137" s="351"/>
      <c r="E137" s="352"/>
    </row>
    <row r="138" spans="1:5" x14ac:dyDescent="0.35">
      <c r="A138" s="20" t="s">
        <v>70</v>
      </c>
      <c r="B138" s="21" t="s">
        <v>69</v>
      </c>
      <c r="C138" s="21" t="s">
        <v>2</v>
      </c>
      <c r="D138" s="21" t="s">
        <v>5</v>
      </c>
      <c r="E138" s="22" t="s">
        <v>209</v>
      </c>
    </row>
    <row r="139" spans="1:5" x14ac:dyDescent="0.35">
      <c r="A139" s="28" t="s">
        <v>262</v>
      </c>
      <c r="B139" s="24" t="s">
        <v>79</v>
      </c>
      <c r="C139" s="24" t="s">
        <v>9</v>
      </c>
      <c r="D139" s="24" t="s">
        <v>108</v>
      </c>
      <c r="E139" s="25" t="s">
        <v>108</v>
      </c>
    </row>
    <row r="140" spans="1:5" x14ac:dyDescent="0.35">
      <c r="A140" s="28" t="s">
        <v>263</v>
      </c>
      <c r="B140" s="24" t="s">
        <v>80</v>
      </c>
      <c r="C140" s="24" t="s">
        <v>9</v>
      </c>
      <c r="D140" s="24" t="s">
        <v>108</v>
      </c>
      <c r="E140" s="25" t="s">
        <v>108</v>
      </c>
    </row>
    <row r="141" spans="1:5" x14ac:dyDescent="0.35">
      <c r="A141" s="28" t="s">
        <v>261</v>
      </c>
      <c r="B141" s="24" t="s">
        <v>15</v>
      </c>
      <c r="C141" s="24" t="s">
        <v>92</v>
      </c>
      <c r="D141" s="24" t="s">
        <v>108</v>
      </c>
      <c r="E141" s="25" t="s">
        <v>108</v>
      </c>
    </row>
    <row r="142" spans="1:5" x14ac:dyDescent="0.35">
      <c r="A142" s="28" t="s">
        <v>260</v>
      </c>
      <c r="B142" s="24" t="s">
        <v>57</v>
      </c>
      <c r="C142" s="24" t="s">
        <v>92</v>
      </c>
      <c r="D142" s="24" t="s">
        <v>108</v>
      </c>
      <c r="E142" s="25" t="s">
        <v>108</v>
      </c>
    </row>
    <row r="143" spans="1:5" x14ac:dyDescent="0.35">
      <c r="A143" s="28" t="s">
        <v>374</v>
      </c>
      <c r="B143" s="24" t="s">
        <v>375</v>
      </c>
      <c r="C143" s="24" t="s">
        <v>93</v>
      </c>
      <c r="D143" s="24" t="s">
        <v>108</v>
      </c>
      <c r="E143" s="25" t="s">
        <v>108</v>
      </c>
    </row>
    <row r="144" spans="1:5" x14ac:dyDescent="0.35">
      <c r="A144" s="28"/>
      <c r="B144" s="24"/>
      <c r="C144" s="24"/>
      <c r="D144" s="24"/>
      <c r="E144" s="25"/>
    </row>
    <row r="145" spans="1:5" x14ac:dyDescent="0.35">
      <c r="A145" s="28" t="s">
        <v>19</v>
      </c>
      <c r="B145" s="24" t="s">
        <v>18</v>
      </c>
      <c r="C145" s="24" t="s">
        <v>90</v>
      </c>
      <c r="D145" s="24" t="s">
        <v>199</v>
      </c>
      <c r="E145" s="25"/>
    </row>
    <row r="146" spans="1:5" x14ac:dyDescent="0.35">
      <c r="A146" s="28" t="s">
        <v>68</v>
      </c>
      <c r="B146" s="24" t="s">
        <v>67</v>
      </c>
      <c r="C146" s="24" t="s">
        <v>90</v>
      </c>
      <c r="D146" s="24" t="s">
        <v>199</v>
      </c>
      <c r="E146" s="25"/>
    </row>
    <row r="147" spans="1:5" x14ac:dyDescent="0.35">
      <c r="A147" s="28" t="s">
        <v>340</v>
      </c>
      <c r="B147" s="24" t="s">
        <v>341</v>
      </c>
      <c r="C147" s="24" t="s">
        <v>90</v>
      </c>
      <c r="D147" s="24" t="s">
        <v>199</v>
      </c>
      <c r="E147" s="25"/>
    </row>
    <row r="148" spans="1:5" x14ac:dyDescent="0.35">
      <c r="A148" s="28"/>
      <c r="B148" s="24"/>
      <c r="C148" s="24"/>
      <c r="D148" s="24"/>
      <c r="E148" s="25"/>
    </row>
    <row r="149" spans="1:5" x14ac:dyDescent="0.35">
      <c r="A149" s="23" t="s">
        <v>226</v>
      </c>
      <c r="B149" s="24" t="s">
        <v>39</v>
      </c>
      <c r="C149" s="24" t="s">
        <v>91</v>
      </c>
      <c r="D149" s="24" t="s">
        <v>196</v>
      </c>
      <c r="E149" s="25"/>
    </row>
    <row r="150" spans="1:5" x14ac:dyDescent="0.35">
      <c r="A150" s="59"/>
      <c r="B150" s="60"/>
      <c r="C150" s="60"/>
      <c r="D150" s="60"/>
      <c r="E150" s="61"/>
    </row>
    <row r="151" spans="1:5" x14ac:dyDescent="0.35">
      <c r="A151" s="59"/>
      <c r="B151" s="60"/>
      <c r="C151" s="60"/>
      <c r="D151" s="60"/>
      <c r="E151" s="61"/>
    </row>
    <row r="152" spans="1:5" x14ac:dyDescent="0.35">
      <c r="A152" s="28" t="s">
        <v>14</v>
      </c>
      <c r="B152" s="24" t="s">
        <v>13</v>
      </c>
      <c r="C152" s="24" t="s">
        <v>86</v>
      </c>
      <c r="D152" s="24" t="s">
        <v>167</v>
      </c>
      <c r="E152" s="25" t="s">
        <v>211</v>
      </c>
    </row>
    <row r="153" spans="1:5" x14ac:dyDescent="0.35">
      <c r="A153" s="23" t="s">
        <v>243</v>
      </c>
      <c r="B153" s="24" t="s">
        <v>43</v>
      </c>
      <c r="C153" s="24" t="s">
        <v>86</v>
      </c>
      <c r="D153" s="24" t="s">
        <v>167</v>
      </c>
      <c r="E153" s="25" t="s">
        <v>211</v>
      </c>
    </row>
    <row r="154" spans="1:5" x14ac:dyDescent="0.35">
      <c r="A154" s="23" t="s">
        <v>244</v>
      </c>
      <c r="B154" s="24" t="s">
        <v>12</v>
      </c>
      <c r="C154" s="24" t="s">
        <v>89</v>
      </c>
      <c r="D154" s="24" t="s">
        <v>167</v>
      </c>
      <c r="E154" s="25" t="s">
        <v>211</v>
      </c>
    </row>
    <row r="155" spans="1:5" x14ac:dyDescent="0.35">
      <c r="A155" s="23" t="s">
        <v>247</v>
      </c>
      <c r="B155" s="24" t="s">
        <v>34</v>
      </c>
      <c r="C155" s="24" t="s">
        <v>102</v>
      </c>
      <c r="D155" s="24" t="s">
        <v>167</v>
      </c>
      <c r="E155" s="25" t="s">
        <v>211</v>
      </c>
    </row>
    <row r="156" spans="1:5" x14ac:dyDescent="0.35">
      <c r="A156" s="23" t="s">
        <v>246</v>
      </c>
      <c r="B156" s="24" t="s">
        <v>33</v>
      </c>
      <c r="C156" s="24" t="s">
        <v>102</v>
      </c>
      <c r="D156" s="24" t="s">
        <v>167</v>
      </c>
      <c r="E156" s="25" t="s">
        <v>211</v>
      </c>
    </row>
    <row r="157" spans="1:5" x14ac:dyDescent="0.35">
      <c r="A157" s="28" t="s">
        <v>37</v>
      </c>
      <c r="B157" s="24" t="s">
        <v>36</v>
      </c>
      <c r="C157" s="24" t="s">
        <v>86</v>
      </c>
      <c r="D157" s="24" t="s">
        <v>167</v>
      </c>
      <c r="E157" s="25" t="s">
        <v>211</v>
      </c>
    </row>
    <row r="158" spans="1:5" x14ac:dyDescent="0.35">
      <c r="A158" s="29"/>
      <c r="B158" s="30"/>
      <c r="C158" s="30"/>
      <c r="D158" s="24"/>
      <c r="E158" s="25"/>
    </row>
    <row r="159" spans="1:5" ht="15" thickBot="1" x14ac:dyDescent="0.4">
      <c r="A159" s="31"/>
      <c r="B159" s="32"/>
      <c r="C159" s="32"/>
      <c r="D159" s="33"/>
      <c r="E159" s="34"/>
    </row>
    <row r="160" spans="1:5" ht="15" thickBot="1" x14ac:dyDescent="0.4"/>
    <row r="161" spans="1:5" ht="15" thickBot="1" x14ac:dyDescent="0.4">
      <c r="A161" s="344" t="s">
        <v>295</v>
      </c>
      <c r="B161" s="345"/>
      <c r="C161" s="345"/>
      <c r="D161" s="345"/>
      <c r="E161" s="346"/>
    </row>
    <row r="162" spans="1:5" x14ac:dyDescent="0.35">
      <c r="A162" s="7" t="s">
        <v>70</v>
      </c>
      <c r="B162" s="8" t="s">
        <v>69</v>
      </c>
      <c r="C162" s="8" t="s">
        <v>2</v>
      </c>
      <c r="D162" s="8" t="s">
        <v>5</v>
      </c>
      <c r="E162" s="9" t="s">
        <v>209</v>
      </c>
    </row>
    <row r="163" spans="1:5" x14ac:dyDescent="0.35">
      <c r="A163" s="13" t="s">
        <v>231</v>
      </c>
      <c r="B163" s="11" t="s">
        <v>45</v>
      </c>
      <c r="C163" s="11" t="s">
        <v>88</v>
      </c>
      <c r="D163" s="11" t="s">
        <v>132</v>
      </c>
      <c r="E163" s="12"/>
    </row>
    <row r="164" spans="1:5" x14ac:dyDescent="0.35">
      <c r="A164" s="10" t="s">
        <v>74</v>
      </c>
      <c r="B164" s="11" t="s">
        <v>73</v>
      </c>
      <c r="C164" s="11" t="s">
        <v>88</v>
      </c>
      <c r="D164" s="11" t="s">
        <v>132</v>
      </c>
      <c r="E164" s="12"/>
    </row>
    <row r="165" spans="1:5" x14ac:dyDescent="0.35">
      <c r="A165" s="10"/>
      <c r="B165" s="11"/>
      <c r="C165" s="11"/>
      <c r="D165" s="11"/>
      <c r="E165" s="12"/>
    </row>
    <row r="166" spans="1:5" x14ac:dyDescent="0.35">
      <c r="A166" s="14"/>
      <c r="B166" s="15"/>
      <c r="C166" s="15"/>
      <c r="D166" s="11"/>
      <c r="E166" s="12"/>
    </row>
    <row r="167" spans="1:5" x14ac:dyDescent="0.35">
      <c r="A167" s="10" t="s">
        <v>64</v>
      </c>
      <c r="B167" s="11" t="s">
        <v>63</v>
      </c>
      <c r="C167" s="11" t="s">
        <v>92</v>
      </c>
      <c r="D167" s="11" t="s">
        <v>126</v>
      </c>
      <c r="E167" s="12" t="s">
        <v>217</v>
      </c>
    </row>
    <row r="168" spans="1:5" x14ac:dyDescent="0.35">
      <c r="A168" s="13" t="s">
        <v>230</v>
      </c>
      <c r="B168" s="11" t="s">
        <v>56</v>
      </c>
      <c r="C168" s="11" t="s">
        <v>92</v>
      </c>
      <c r="D168" s="11" t="s">
        <v>126</v>
      </c>
      <c r="E168" s="12" t="s">
        <v>217</v>
      </c>
    </row>
    <row r="169" spans="1:5" x14ac:dyDescent="0.35">
      <c r="A169" s="10"/>
      <c r="B169" s="11"/>
      <c r="C169" s="11"/>
      <c r="D169" s="11"/>
      <c r="E169" s="12"/>
    </row>
    <row r="170" spans="1:5" x14ac:dyDescent="0.35">
      <c r="A170" s="14"/>
      <c r="B170" s="15"/>
      <c r="C170" s="15"/>
      <c r="D170" s="11"/>
      <c r="E170" s="12"/>
    </row>
    <row r="171" spans="1:5" x14ac:dyDescent="0.35">
      <c r="A171" s="10" t="s">
        <v>222</v>
      </c>
      <c r="B171" s="11" t="s">
        <v>58</v>
      </c>
      <c r="C171" s="11" t="s">
        <v>92</v>
      </c>
      <c r="D171" s="11" t="s">
        <v>59</v>
      </c>
      <c r="E171" s="12"/>
    </row>
    <row r="172" spans="1:5" x14ac:dyDescent="0.35">
      <c r="A172" s="10"/>
      <c r="B172" s="11"/>
      <c r="C172" s="11"/>
      <c r="D172" s="11"/>
      <c r="E172" s="12"/>
    </row>
    <row r="173" spans="1:5" x14ac:dyDescent="0.35">
      <c r="A173" s="14"/>
      <c r="B173" s="15"/>
      <c r="C173" s="15"/>
      <c r="D173" s="11"/>
      <c r="E173" s="12"/>
    </row>
    <row r="174" spans="1:5" x14ac:dyDescent="0.35">
      <c r="A174" s="13" t="s">
        <v>226</v>
      </c>
      <c r="B174" s="11" t="s">
        <v>39</v>
      </c>
      <c r="C174" s="11" t="s">
        <v>91</v>
      </c>
      <c r="D174" s="11" t="s">
        <v>196</v>
      </c>
      <c r="E174" s="12"/>
    </row>
    <row r="175" spans="1:5" x14ac:dyDescent="0.35">
      <c r="A175" s="14"/>
      <c r="B175" s="15"/>
      <c r="C175" s="15"/>
      <c r="D175" s="11"/>
      <c r="E175" s="12"/>
    </row>
    <row r="176" spans="1:5" ht="15" thickBot="1" x14ac:dyDescent="0.4">
      <c r="A176" s="16"/>
      <c r="B176" s="17"/>
      <c r="C176" s="17"/>
      <c r="D176" s="18"/>
      <c r="E176" s="19"/>
    </row>
    <row r="177" spans="1:5" ht="15" thickBot="1" x14ac:dyDescent="0.4"/>
    <row r="178" spans="1:5" x14ac:dyDescent="0.35">
      <c r="A178" s="347" t="s">
        <v>313</v>
      </c>
      <c r="B178" s="348"/>
      <c r="C178" s="348"/>
      <c r="D178" s="348"/>
      <c r="E178" s="349"/>
    </row>
    <row r="179" spans="1:5" x14ac:dyDescent="0.35">
      <c r="A179" s="108" t="s">
        <v>70</v>
      </c>
      <c r="B179" s="109" t="s">
        <v>69</v>
      </c>
      <c r="C179" s="109" t="s">
        <v>2</v>
      </c>
      <c r="D179" s="109" t="s">
        <v>5</v>
      </c>
      <c r="E179" s="110" t="s">
        <v>209</v>
      </c>
    </row>
    <row r="180" spans="1:5" x14ac:dyDescent="0.35">
      <c r="A180" s="111" t="s">
        <v>312</v>
      </c>
      <c r="B180" s="112" t="s">
        <v>314</v>
      </c>
      <c r="C180" s="112" t="s">
        <v>325</v>
      </c>
      <c r="D180" s="112" t="s">
        <v>317</v>
      </c>
      <c r="E180" s="113"/>
    </row>
    <row r="181" spans="1:5" x14ac:dyDescent="0.35">
      <c r="A181" s="111" t="s">
        <v>315</v>
      </c>
      <c r="B181" s="112" t="s">
        <v>316</v>
      </c>
      <c r="C181" s="112" t="s">
        <v>326</v>
      </c>
      <c r="D181" s="112" t="s">
        <v>317</v>
      </c>
      <c r="E181" s="113"/>
    </row>
    <row r="182" spans="1:5" x14ac:dyDescent="0.35">
      <c r="A182" s="111"/>
      <c r="B182" s="112"/>
      <c r="C182" s="112"/>
      <c r="D182" s="114"/>
      <c r="E182" s="113"/>
    </row>
    <row r="183" spans="1:5" x14ac:dyDescent="0.35">
      <c r="A183" s="119"/>
      <c r="B183" s="119"/>
      <c r="C183" s="119"/>
      <c r="D183" s="120"/>
      <c r="E183" s="120"/>
    </row>
    <row r="184" spans="1:5" ht="15" thickBot="1" x14ac:dyDescent="0.4">
      <c r="A184" s="115"/>
      <c r="B184" s="116"/>
      <c r="C184" s="116"/>
      <c r="D184" s="117"/>
      <c r="E184" s="118"/>
    </row>
    <row r="186" spans="1:5" ht="15" thickBot="1" x14ac:dyDescent="0.4"/>
    <row r="187" spans="1:5" ht="15" thickBot="1" x14ac:dyDescent="0.4">
      <c r="A187" s="344" t="s">
        <v>365</v>
      </c>
      <c r="B187" s="345"/>
      <c r="C187" s="345"/>
      <c r="D187" s="345"/>
      <c r="E187" s="346"/>
    </row>
    <row r="188" spans="1:5" x14ac:dyDescent="0.35">
      <c r="A188" s="7" t="s">
        <v>70</v>
      </c>
      <c r="B188" s="8" t="s">
        <v>69</v>
      </c>
      <c r="C188" s="8" t="s">
        <v>2</v>
      </c>
      <c r="D188" s="8" t="s">
        <v>5</v>
      </c>
      <c r="E188" s="9" t="s">
        <v>209</v>
      </c>
    </row>
    <row r="189" spans="1:5" x14ac:dyDescent="0.35">
      <c r="A189" s="170" t="s">
        <v>352</v>
      </c>
      <c r="B189" s="168" t="s">
        <v>353</v>
      </c>
      <c r="C189" s="168" t="s">
        <v>354</v>
      </c>
      <c r="D189" s="168" t="s">
        <v>159</v>
      </c>
      <c r="E189" s="169"/>
    </row>
    <row r="190" spans="1:5" x14ac:dyDescent="0.35">
      <c r="A190" s="170" t="s">
        <v>355</v>
      </c>
      <c r="B190" s="168" t="s">
        <v>356</v>
      </c>
      <c r="C190" s="168" t="s">
        <v>357</v>
      </c>
      <c r="D190" s="168" t="s">
        <v>144</v>
      </c>
      <c r="E190" s="169"/>
    </row>
    <row r="191" spans="1:5" x14ac:dyDescent="0.35">
      <c r="A191" s="170" t="s">
        <v>358</v>
      </c>
      <c r="B191" s="168" t="s">
        <v>359</v>
      </c>
      <c r="C191" s="168" t="s">
        <v>360</v>
      </c>
      <c r="D191" s="168" t="s">
        <v>361</v>
      </c>
      <c r="E191" s="169"/>
    </row>
    <row r="192" spans="1:5" x14ac:dyDescent="0.35">
      <c r="A192" s="170" t="s">
        <v>362</v>
      </c>
      <c r="B192" s="168" t="s">
        <v>363</v>
      </c>
      <c r="C192" s="168" t="s">
        <v>93</v>
      </c>
      <c r="D192" s="168" t="s">
        <v>364</v>
      </c>
      <c r="E192" s="169"/>
    </row>
    <row r="193" spans="1:5" x14ac:dyDescent="0.35">
      <c r="A193" s="170"/>
      <c r="B193" s="168"/>
      <c r="C193" s="168"/>
      <c r="D193" s="168"/>
      <c r="E193" s="169"/>
    </row>
  </sheetData>
  <sheetProtection algorithmName="SHA-512" hashValue="zsDpE13wK2NUjZYdDLzma/daDZyQP0vFnSOlzQrR9piQ6ULblOnbHNvb4f8gYiU2fLGPpxl2qcPfl/MhWLF+6Q==" saltValue="c3cV4b5r3Ctt51QqNVYsng==" spinCount="100000" sheet="1" objects="1" scenarios="1"/>
  <protectedRanges>
    <protectedRange algorithmName="SHA-512" hashValue="T2nEXrqJvFm30wE9RLQdmHRRTRCfuUZbQqRQn0+Y+4zsWm39h2Y/T0ovG6RS41FK12ef53i0ItI5dso6e20I9w==" saltValue="VXyDSra/d6Le3UtC4NOlog==" spinCount="100000" sqref="B189:D193" name="Range1"/>
  </protectedRanges>
  <sortState xmlns:xlrd2="http://schemas.microsoft.com/office/spreadsheetml/2017/richdata2" ref="A171:E176">
    <sortCondition ref="D162"/>
  </sortState>
  <mergeCells count="11">
    <mergeCell ref="A187:E187"/>
    <mergeCell ref="A178:E178"/>
    <mergeCell ref="A137:E137"/>
    <mergeCell ref="A161:E161"/>
    <mergeCell ref="A1:E1"/>
    <mergeCell ref="A48:E48"/>
    <mergeCell ref="A73:E73"/>
    <mergeCell ref="A85:E85"/>
    <mergeCell ref="A98:E98"/>
    <mergeCell ref="A108:E108"/>
    <mergeCell ref="A41:E41"/>
  </mergeCells>
  <pageMargins left="0.7" right="0.7" top="0.75" bottom="0.75" header="0.3" footer="0.3"/>
  <pageSetup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75"/>
  <sheetViews>
    <sheetView workbookViewId="0">
      <selection activeCell="A14" sqref="A14:B16"/>
    </sheetView>
  </sheetViews>
  <sheetFormatPr defaultColWidth="8.7265625" defaultRowHeight="14.5" x14ac:dyDescent="0.35"/>
  <cols>
    <col min="1" max="1" width="19.26953125" bestFit="1" customWidth="1"/>
    <col min="2" max="2" width="17.1796875" customWidth="1"/>
    <col min="4" max="4" width="16.7265625" bestFit="1" customWidth="1"/>
    <col min="5" max="5" width="9.54296875" bestFit="1" customWidth="1"/>
    <col min="7" max="7" width="16.7265625" bestFit="1" customWidth="1"/>
    <col min="8" max="8" width="9.54296875" bestFit="1" customWidth="1"/>
    <col min="10" max="10" width="18.81640625" bestFit="1" customWidth="1"/>
    <col min="11" max="11" width="10.54296875" bestFit="1" customWidth="1"/>
    <col min="13" max="13" width="37.7265625" bestFit="1" customWidth="1"/>
  </cols>
  <sheetData>
    <row r="1" spans="1:13" s="1" customFormat="1" ht="15" thickBot="1" x14ac:dyDescent="0.4">
      <c r="A1" s="353" t="s">
        <v>297</v>
      </c>
      <c r="B1" s="354"/>
      <c r="D1" s="353" t="s">
        <v>291</v>
      </c>
      <c r="E1" s="354"/>
      <c r="G1" s="353" t="s">
        <v>298</v>
      </c>
      <c r="H1" s="354"/>
      <c r="J1" s="353" t="s">
        <v>294</v>
      </c>
      <c r="K1" s="354"/>
      <c r="M1" s="54" t="s">
        <v>299</v>
      </c>
    </row>
    <row r="2" spans="1:13" s="1" customFormat="1" x14ac:dyDescent="0.35">
      <c r="A2" s="7" t="s">
        <v>70</v>
      </c>
      <c r="B2" s="9" t="s">
        <v>281</v>
      </c>
      <c r="D2" s="7" t="s">
        <v>70</v>
      </c>
      <c r="E2" s="9" t="s">
        <v>281</v>
      </c>
      <c r="G2" s="7" t="s">
        <v>70</v>
      </c>
      <c r="H2" s="9" t="s">
        <v>281</v>
      </c>
      <c r="J2" s="7" t="s">
        <v>70</v>
      </c>
      <c r="K2" s="9" t="s">
        <v>281</v>
      </c>
      <c r="M2" s="42" t="s">
        <v>283</v>
      </c>
    </row>
    <row r="3" spans="1:13" x14ac:dyDescent="0.35">
      <c r="A3" s="10" t="s">
        <v>175</v>
      </c>
      <c r="B3" s="12" t="s">
        <v>174</v>
      </c>
      <c r="D3" s="10" t="s">
        <v>282</v>
      </c>
      <c r="E3" s="12" t="s">
        <v>178</v>
      </c>
      <c r="G3" s="10" t="s">
        <v>175</v>
      </c>
      <c r="H3" s="12" t="s">
        <v>174</v>
      </c>
      <c r="J3" s="10" t="s">
        <v>180</v>
      </c>
      <c r="K3" s="12" t="s">
        <v>119</v>
      </c>
      <c r="M3" s="41" t="s">
        <v>284</v>
      </c>
    </row>
    <row r="4" spans="1:13" x14ac:dyDescent="0.35">
      <c r="A4" s="10" t="s">
        <v>173</v>
      </c>
      <c r="B4" s="12" t="s">
        <v>172</v>
      </c>
      <c r="D4" s="10" t="s">
        <v>175</v>
      </c>
      <c r="E4" s="12" t="s">
        <v>174</v>
      </c>
      <c r="G4" s="10" t="s">
        <v>173</v>
      </c>
      <c r="H4" s="12" t="s">
        <v>172</v>
      </c>
      <c r="J4" s="10" t="s">
        <v>338</v>
      </c>
      <c r="K4" s="12" t="s">
        <v>339</v>
      </c>
      <c r="M4" s="41" t="s">
        <v>285</v>
      </c>
    </row>
    <row r="5" spans="1:13" x14ac:dyDescent="0.35">
      <c r="A5" s="10" t="s">
        <v>177</v>
      </c>
      <c r="B5" s="12" t="s">
        <v>176</v>
      </c>
      <c r="D5" s="10" t="s">
        <v>173</v>
      </c>
      <c r="E5" s="12" t="s">
        <v>172</v>
      </c>
      <c r="G5" s="10" t="s">
        <v>177</v>
      </c>
      <c r="H5" s="12" t="s">
        <v>176</v>
      </c>
      <c r="J5" s="10"/>
      <c r="K5" s="12"/>
      <c r="M5" s="41" t="s">
        <v>286</v>
      </c>
    </row>
    <row r="6" spans="1:13" x14ac:dyDescent="0.35">
      <c r="A6" s="10"/>
      <c r="B6" s="12"/>
      <c r="D6" s="10" t="s">
        <v>177</v>
      </c>
      <c r="E6" s="12" t="s">
        <v>176</v>
      </c>
      <c r="G6" s="10"/>
      <c r="H6" s="12"/>
      <c r="J6" s="10"/>
      <c r="K6" s="12"/>
      <c r="M6" s="41" t="s">
        <v>287</v>
      </c>
    </row>
    <row r="7" spans="1:13" ht="15" thickBot="1" x14ac:dyDescent="0.4">
      <c r="A7" s="38"/>
      <c r="B7" s="19"/>
      <c r="D7" s="38" t="s">
        <v>180</v>
      </c>
      <c r="E7" s="19" t="s">
        <v>119</v>
      </c>
      <c r="G7" s="38"/>
      <c r="H7" s="19"/>
      <c r="J7" s="38"/>
      <c r="K7" s="19"/>
      <c r="M7" s="41" t="s">
        <v>288</v>
      </c>
    </row>
    <row r="8" spans="1:13" ht="15" thickBot="1" x14ac:dyDescent="0.4">
      <c r="M8" s="41" t="s">
        <v>289</v>
      </c>
    </row>
    <row r="9" spans="1:13" s="1" customFormat="1" ht="15" thickBot="1" x14ac:dyDescent="0.4">
      <c r="A9" s="355" t="s">
        <v>296</v>
      </c>
      <c r="B9" s="356"/>
      <c r="D9" s="355" t="s">
        <v>292</v>
      </c>
      <c r="E9" s="356"/>
      <c r="G9" s="355" t="s">
        <v>293</v>
      </c>
      <c r="H9" s="356"/>
      <c r="I9"/>
      <c r="J9" s="355" t="s">
        <v>295</v>
      </c>
      <c r="K9" s="356"/>
      <c r="M9" s="41" t="s">
        <v>290</v>
      </c>
    </row>
    <row r="10" spans="1:13" s="1" customFormat="1" x14ac:dyDescent="0.35">
      <c r="A10" s="20" t="s">
        <v>70</v>
      </c>
      <c r="B10" s="22" t="s">
        <v>281</v>
      </c>
      <c r="D10" s="20" t="s">
        <v>70</v>
      </c>
      <c r="E10" s="22" t="s">
        <v>281</v>
      </c>
      <c r="G10" s="20" t="s">
        <v>70</v>
      </c>
      <c r="H10" s="22" t="s">
        <v>281</v>
      </c>
      <c r="I10"/>
      <c r="J10" s="20" t="s">
        <v>70</v>
      </c>
      <c r="K10" s="22" t="s">
        <v>281</v>
      </c>
      <c r="M10" s="41" t="s">
        <v>271</v>
      </c>
    </row>
    <row r="11" spans="1:13" ht="15" thickBot="1" x14ac:dyDescent="0.4">
      <c r="A11" s="94" t="s">
        <v>175</v>
      </c>
      <c r="B11" s="95" t="s">
        <v>174</v>
      </c>
      <c r="D11" s="94" t="s">
        <v>175</v>
      </c>
      <c r="E11" s="95" t="s">
        <v>174</v>
      </c>
      <c r="G11" s="94" t="s">
        <v>182</v>
      </c>
      <c r="H11" s="95" t="s">
        <v>183</v>
      </c>
      <c r="J11" s="94" t="s">
        <v>106</v>
      </c>
      <c r="K11" s="95" t="s">
        <v>105</v>
      </c>
      <c r="M11" s="93"/>
    </row>
    <row r="12" spans="1:13" ht="15" thickBot="1" x14ac:dyDescent="0.4">
      <c r="A12" s="94" t="s">
        <v>173</v>
      </c>
      <c r="B12" s="95" t="s">
        <v>172</v>
      </c>
      <c r="D12" s="94" t="s">
        <v>173</v>
      </c>
      <c r="E12" s="95" t="s">
        <v>172</v>
      </c>
      <c r="G12" s="94" t="s">
        <v>109</v>
      </c>
      <c r="H12" s="95" t="s">
        <v>11</v>
      </c>
      <c r="J12" s="94" t="s">
        <v>180</v>
      </c>
      <c r="K12" s="95" t="s">
        <v>119</v>
      </c>
    </row>
    <row r="13" spans="1:13" ht="15" thickBot="1" x14ac:dyDescent="0.4">
      <c r="A13" s="94" t="s">
        <v>177</v>
      </c>
      <c r="B13" s="95" t="s">
        <v>176</v>
      </c>
      <c r="D13" s="94" t="s">
        <v>177</v>
      </c>
      <c r="E13" s="95" t="s">
        <v>176</v>
      </c>
      <c r="G13" s="94"/>
      <c r="H13" s="95"/>
      <c r="J13" s="94"/>
      <c r="K13" s="95"/>
      <c r="M13" s="76" t="s">
        <v>306</v>
      </c>
    </row>
    <row r="14" spans="1:13" x14ac:dyDescent="0.35">
      <c r="A14" s="94"/>
      <c r="B14" s="95"/>
      <c r="D14" s="94" t="s">
        <v>180</v>
      </c>
      <c r="E14" s="95" t="s">
        <v>119</v>
      </c>
      <c r="G14" s="94"/>
      <c r="H14" s="95"/>
      <c r="J14" s="94"/>
      <c r="K14" s="95"/>
      <c r="M14" s="77" t="s">
        <v>301</v>
      </c>
    </row>
    <row r="15" spans="1:13" x14ac:dyDescent="0.35">
      <c r="A15" s="94"/>
      <c r="B15" s="95"/>
      <c r="D15" s="94"/>
      <c r="E15" s="95"/>
      <c r="G15" s="94" t="s">
        <v>182</v>
      </c>
      <c r="H15" s="95" t="s">
        <v>183</v>
      </c>
      <c r="J15" s="94"/>
      <c r="K15" s="95"/>
      <c r="M15" s="99" t="s">
        <v>302</v>
      </c>
    </row>
    <row r="16" spans="1:13" x14ac:dyDescent="0.35">
      <c r="A16" s="94"/>
      <c r="B16" s="95"/>
      <c r="D16" s="94"/>
      <c r="E16" s="95"/>
      <c r="G16" s="94" t="s">
        <v>180</v>
      </c>
      <c r="H16" s="95" t="s">
        <v>119</v>
      </c>
      <c r="J16" s="94"/>
      <c r="K16" s="95"/>
      <c r="M16" s="99" t="s">
        <v>321</v>
      </c>
    </row>
    <row r="17" spans="1:13" ht="15" thickBot="1" x14ac:dyDescent="0.4">
      <c r="A17" s="96"/>
      <c r="B17" s="97"/>
      <c r="D17" s="96"/>
      <c r="E17" s="97"/>
      <c r="G17" s="96"/>
      <c r="H17" s="97"/>
      <c r="J17" s="96"/>
      <c r="K17" s="97"/>
      <c r="M17" s="98" t="s">
        <v>322</v>
      </c>
    </row>
    <row r="20" spans="1:13" x14ac:dyDescent="0.35">
      <c r="A20" s="357" t="s">
        <v>300</v>
      </c>
      <c r="B20" s="357"/>
      <c r="E20" s="39"/>
    </row>
    <row r="21" spans="1:13" x14ac:dyDescent="0.35">
      <c r="A21" t="s">
        <v>104</v>
      </c>
      <c r="B21" t="s">
        <v>170</v>
      </c>
      <c r="E21" s="40"/>
    </row>
    <row r="22" spans="1:13" x14ac:dyDescent="0.35">
      <c r="A22" t="s">
        <v>106</v>
      </c>
      <c r="B22" t="s">
        <v>105</v>
      </c>
      <c r="E22" s="2"/>
    </row>
    <row r="23" spans="1:13" x14ac:dyDescent="0.35">
      <c r="A23" t="s">
        <v>179</v>
      </c>
      <c r="B23" t="s">
        <v>178</v>
      </c>
      <c r="E23" s="2"/>
    </row>
    <row r="24" spans="1:13" x14ac:dyDescent="0.35">
      <c r="A24" t="s">
        <v>59</v>
      </c>
      <c r="B24" t="s">
        <v>107</v>
      </c>
      <c r="E24" s="2"/>
    </row>
    <row r="25" spans="1:13" x14ac:dyDescent="0.35">
      <c r="A25" t="s">
        <v>108</v>
      </c>
      <c r="B25" t="s">
        <v>108</v>
      </c>
      <c r="E25" s="2"/>
    </row>
    <row r="26" spans="1:13" x14ac:dyDescent="0.35">
      <c r="A26" t="s">
        <v>112</v>
      </c>
      <c r="B26" t="s">
        <v>111</v>
      </c>
      <c r="E26" s="2"/>
    </row>
    <row r="27" spans="1:13" x14ac:dyDescent="0.35">
      <c r="A27" t="s">
        <v>109</v>
      </c>
      <c r="B27" t="s">
        <v>11</v>
      </c>
    </row>
    <row r="28" spans="1:13" x14ac:dyDescent="0.35">
      <c r="A28" t="s">
        <v>87</v>
      </c>
      <c r="B28" t="s">
        <v>110</v>
      </c>
    </row>
    <row r="29" spans="1:13" x14ac:dyDescent="0.35">
      <c r="A29" t="s">
        <v>114</v>
      </c>
      <c r="B29" t="s">
        <v>113</v>
      </c>
    </row>
    <row r="30" spans="1:13" x14ac:dyDescent="0.35">
      <c r="A30" t="s">
        <v>182</v>
      </c>
      <c r="B30" t="s">
        <v>183</v>
      </c>
    </row>
    <row r="31" spans="1:13" x14ac:dyDescent="0.35">
      <c r="A31" t="s">
        <v>116</v>
      </c>
      <c r="B31" t="s">
        <v>115</v>
      </c>
    </row>
    <row r="32" spans="1:13" x14ac:dyDescent="0.35">
      <c r="A32" t="s">
        <v>180</v>
      </c>
      <c r="B32" t="s">
        <v>119</v>
      </c>
    </row>
    <row r="33" spans="1:2" x14ac:dyDescent="0.35">
      <c r="A33" t="s">
        <v>196</v>
      </c>
      <c r="B33" t="s">
        <v>202</v>
      </c>
    </row>
    <row r="34" spans="1:2" x14ac:dyDescent="0.35">
      <c r="A34" t="s">
        <v>118</v>
      </c>
      <c r="B34" t="s">
        <v>117</v>
      </c>
    </row>
    <row r="35" spans="1:2" x14ac:dyDescent="0.35">
      <c r="A35" t="s">
        <v>175</v>
      </c>
      <c r="B35" t="s">
        <v>174</v>
      </c>
    </row>
    <row r="36" spans="1:2" x14ac:dyDescent="0.35">
      <c r="A36" t="s">
        <v>90</v>
      </c>
      <c r="B36" t="s">
        <v>90</v>
      </c>
    </row>
    <row r="37" spans="1:2" x14ac:dyDescent="0.35">
      <c r="A37" t="s">
        <v>199</v>
      </c>
      <c r="B37" t="s">
        <v>90</v>
      </c>
    </row>
    <row r="38" spans="1:2" x14ac:dyDescent="0.35">
      <c r="A38" t="s">
        <v>120</v>
      </c>
      <c r="B38" t="s">
        <v>120</v>
      </c>
    </row>
    <row r="39" spans="1:2" x14ac:dyDescent="0.35">
      <c r="A39" t="s">
        <v>198</v>
      </c>
      <c r="B39" t="s">
        <v>200</v>
      </c>
    </row>
    <row r="40" spans="1:2" x14ac:dyDescent="0.35">
      <c r="A40" t="s">
        <v>122</v>
      </c>
      <c r="B40" t="s">
        <v>121</v>
      </c>
    </row>
    <row r="41" spans="1:2" x14ac:dyDescent="0.35">
      <c r="A41" t="s">
        <v>9</v>
      </c>
      <c r="B41" t="s">
        <v>9</v>
      </c>
    </row>
    <row r="42" spans="1:2" x14ac:dyDescent="0.35">
      <c r="A42" t="s">
        <v>184</v>
      </c>
      <c r="B42" t="s">
        <v>185</v>
      </c>
    </row>
    <row r="43" spans="1:2" x14ac:dyDescent="0.35">
      <c r="A43" t="s">
        <v>126</v>
      </c>
      <c r="B43" t="s">
        <v>125</v>
      </c>
    </row>
    <row r="44" spans="1:2" x14ac:dyDescent="0.35">
      <c r="A44" t="s">
        <v>123</v>
      </c>
      <c r="B44" t="s">
        <v>123</v>
      </c>
    </row>
    <row r="45" spans="1:2" x14ac:dyDescent="0.35">
      <c r="A45" t="s">
        <v>124</v>
      </c>
      <c r="B45" t="s">
        <v>124</v>
      </c>
    </row>
    <row r="46" spans="1:2" x14ac:dyDescent="0.35">
      <c r="A46" t="s">
        <v>93</v>
      </c>
      <c r="B46" t="s">
        <v>127</v>
      </c>
    </row>
    <row r="47" spans="1:2" x14ac:dyDescent="0.35">
      <c r="A47" t="s">
        <v>94</v>
      </c>
      <c r="B47" t="s">
        <v>128</v>
      </c>
    </row>
    <row r="48" spans="1:2" x14ac:dyDescent="0.35">
      <c r="A48" t="s">
        <v>130</v>
      </c>
      <c r="B48" t="s">
        <v>129</v>
      </c>
    </row>
    <row r="49" spans="1:2" x14ac:dyDescent="0.35">
      <c r="A49" t="s">
        <v>132</v>
      </c>
      <c r="B49" t="s">
        <v>131</v>
      </c>
    </row>
    <row r="50" spans="1:2" x14ac:dyDescent="0.35">
      <c r="A50" t="s">
        <v>173</v>
      </c>
      <c r="B50" t="s">
        <v>172</v>
      </c>
    </row>
    <row r="51" spans="1:2" x14ac:dyDescent="0.35">
      <c r="A51" t="s">
        <v>197</v>
      </c>
      <c r="B51" t="s">
        <v>133</v>
      </c>
    </row>
    <row r="52" spans="1:2" x14ac:dyDescent="0.35">
      <c r="A52" t="s">
        <v>135</v>
      </c>
      <c r="B52" t="s">
        <v>134</v>
      </c>
    </row>
    <row r="53" spans="1:2" x14ac:dyDescent="0.35">
      <c r="A53" t="s">
        <v>137</v>
      </c>
      <c r="B53" t="s">
        <v>136</v>
      </c>
    </row>
    <row r="54" spans="1:2" x14ac:dyDescent="0.35">
      <c r="A54" t="s">
        <v>138</v>
      </c>
      <c r="B54" t="s">
        <v>138</v>
      </c>
    </row>
    <row r="55" spans="1:2" x14ac:dyDescent="0.35">
      <c r="A55" t="s">
        <v>140</v>
      </c>
      <c r="B55" t="s">
        <v>139</v>
      </c>
    </row>
    <row r="56" spans="1:2" x14ac:dyDescent="0.35">
      <c r="A56" t="s">
        <v>142</v>
      </c>
      <c r="B56" t="s">
        <v>141</v>
      </c>
    </row>
    <row r="57" spans="1:2" x14ac:dyDescent="0.35">
      <c r="A57" t="s">
        <v>143</v>
      </c>
      <c r="B57" t="s">
        <v>143</v>
      </c>
    </row>
    <row r="58" spans="1:2" x14ac:dyDescent="0.35">
      <c r="A58" t="s">
        <v>145</v>
      </c>
      <c r="B58" t="s">
        <v>144</v>
      </c>
    </row>
    <row r="59" spans="1:2" x14ac:dyDescent="0.35">
      <c r="A59" t="s">
        <v>177</v>
      </c>
      <c r="B59" t="s">
        <v>176</v>
      </c>
    </row>
    <row r="60" spans="1:2" x14ac:dyDescent="0.35">
      <c r="A60" t="s">
        <v>146</v>
      </c>
      <c r="B60" t="s">
        <v>10</v>
      </c>
    </row>
    <row r="61" spans="1:2" x14ac:dyDescent="0.35">
      <c r="A61" t="s">
        <v>148</v>
      </c>
      <c r="B61" t="s">
        <v>147</v>
      </c>
    </row>
    <row r="62" spans="1:2" x14ac:dyDescent="0.35">
      <c r="A62" t="s">
        <v>150</v>
      </c>
      <c r="B62" t="s">
        <v>149</v>
      </c>
    </row>
    <row r="63" spans="1:2" x14ac:dyDescent="0.35">
      <c r="A63" t="s">
        <v>152</v>
      </c>
      <c r="B63" t="s">
        <v>151</v>
      </c>
    </row>
    <row r="64" spans="1:2" x14ac:dyDescent="0.35">
      <c r="A64" t="s">
        <v>156</v>
      </c>
      <c r="B64" t="s">
        <v>155</v>
      </c>
    </row>
    <row r="65" spans="1:2" x14ac:dyDescent="0.35">
      <c r="A65" t="s">
        <v>190</v>
      </c>
      <c r="B65" t="s">
        <v>191</v>
      </c>
    </row>
    <row r="66" spans="1:2" x14ac:dyDescent="0.35">
      <c r="A66" t="s">
        <v>154</v>
      </c>
      <c r="B66" t="s">
        <v>153</v>
      </c>
    </row>
    <row r="67" spans="1:2" x14ac:dyDescent="0.35">
      <c r="A67" t="s">
        <v>158</v>
      </c>
      <c r="B67" t="s">
        <v>157</v>
      </c>
    </row>
    <row r="68" spans="1:2" x14ac:dyDescent="0.35">
      <c r="A68" t="s">
        <v>160</v>
      </c>
      <c r="B68" t="s">
        <v>159</v>
      </c>
    </row>
    <row r="69" spans="1:2" x14ac:dyDescent="0.35">
      <c r="A69" t="s">
        <v>166</v>
      </c>
      <c r="B69" t="s">
        <v>165</v>
      </c>
    </row>
    <row r="70" spans="1:2" x14ac:dyDescent="0.35">
      <c r="A70" t="s">
        <v>164</v>
      </c>
      <c r="B70" t="s">
        <v>163</v>
      </c>
    </row>
    <row r="71" spans="1:2" x14ac:dyDescent="0.35">
      <c r="A71" t="s">
        <v>162</v>
      </c>
      <c r="B71" t="s">
        <v>161</v>
      </c>
    </row>
    <row r="72" spans="1:2" x14ac:dyDescent="0.35">
      <c r="A72" t="s">
        <v>167</v>
      </c>
      <c r="B72" t="s">
        <v>167</v>
      </c>
    </row>
    <row r="73" spans="1:2" x14ac:dyDescent="0.35">
      <c r="A73" t="s">
        <v>169</v>
      </c>
      <c r="B73" t="s">
        <v>168</v>
      </c>
    </row>
    <row r="74" spans="1:2" x14ac:dyDescent="0.35">
      <c r="A74" t="s">
        <v>195</v>
      </c>
      <c r="B74" t="s">
        <v>201</v>
      </c>
    </row>
    <row r="75" spans="1:2" x14ac:dyDescent="0.35">
      <c r="A75" t="s">
        <v>338</v>
      </c>
      <c r="B75" t="s">
        <v>339</v>
      </c>
    </row>
  </sheetData>
  <sheetProtection algorithmName="SHA-512" hashValue="FQ/asPEsAE6tEYJnaDfCkyjHWEYh9w5UvWiqusPwtOQtRx4fxzy9q9Kz97AePmDvHLBT2+kjmgJ1fryXrJAZDQ==" saltValue="T0ZRxeov52iDDrjAEyRn/g==" spinCount="100000" sheet="1" objects="1" scenarios="1"/>
  <sortState xmlns:xlrd2="http://schemas.microsoft.com/office/spreadsheetml/2017/richdata2" ref="A22:B76">
    <sortCondition ref="A22:A76"/>
  </sortState>
  <mergeCells count="9">
    <mergeCell ref="J1:K1"/>
    <mergeCell ref="J9:K9"/>
    <mergeCell ref="A20:B20"/>
    <mergeCell ref="A1:B1"/>
    <mergeCell ref="A9:B9"/>
    <mergeCell ref="D1:E1"/>
    <mergeCell ref="D9:E9"/>
    <mergeCell ref="G1:H1"/>
    <mergeCell ref="G9:H9"/>
  </mergeCells>
  <pageMargins left="0.7" right="0.7" top="0.75" bottom="0.75" header="0.3" footer="0.3"/>
  <pageSetup orientation="portrait" horizontalDpi="4294967293" verticalDpi="4294967293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Site Inventory</vt:lpstr>
      <vt:lpstr>Model-Vendor</vt:lpstr>
      <vt:lpstr>Location Legend</vt:lpstr>
      <vt:lpstr>'Site Inventory'!Print_Area</vt:lpstr>
      <vt:lpstr>'Site Inventory'!Print_Titles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Leann</dc:creator>
  <cp:lastModifiedBy>Christopher</cp:lastModifiedBy>
  <cp:lastPrinted>2019-12-19T19:50:43Z</cp:lastPrinted>
  <dcterms:created xsi:type="dcterms:W3CDTF">2017-05-16T14:21:24Z</dcterms:created>
  <dcterms:modified xsi:type="dcterms:W3CDTF">2020-02-26T20:05:13Z</dcterms:modified>
</cp:coreProperties>
</file>